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m-yeong/git/prj_centum/"/>
    </mc:Choice>
  </mc:AlternateContent>
  <xr:revisionPtr revIDLastSave="0" documentId="13_ncr:40009_{661F2F5D-FEA1-8841-BFBE-58EA37534BE7}" xr6:coauthVersionLast="47" xr6:coauthVersionMax="47" xr10:uidLastSave="{00000000-0000-0000-0000-000000000000}"/>
  <bookViews>
    <workbookView xWindow="12320" yWindow="2480" windowWidth="14400" windowHeight="17500"/>
  </bookViews>
  <sheets>
    <sheet name="category_recommendations_2025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0" i="1" l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F1" i="1"/>
  <c r="E1" i="1"/>
</calcChain>
</file>

<file path=xl/sharedStrings.xml><?xml version="1.0" encoding="utf-8"?>
<sst xmlns="http://schemas.openxmlformats.org/spreadsheetml/2006/main" count="401" uniqueCount="281">
  <si>
    <t>column</t>
  </si>
  <si>
    <t>category_name</t>
  </si>
  <si>
    <t>description</t>
  </si>
  <si>
    <t>CC</t>
  </si>
  <si>
    <t>증상</t>
  </si>
  <si>
    <t>환자가 호소하는 주요 증상으로 통증, 불편감, 관절음, 개구제한 등이 포함됩니다. 증상의 위치, 정도, 양상, 지속시간 등을 상세히 기록합니다.</t>
  </si>
  <si>
    <t>병력</t>
  </si>
  <si>
    <t>턱관절장애 관련 과거 병력, 치료 이력, 발병 시기 및 계기 등을 포함합니다. 교정 치료, 외상, 수술 등이 언급되는 경우가 많습니다.</t>
  </si>
  <si>
    <t>습관 및 생활 패턴</t>
  </si>
  <si>
    <t>이갈이, 이악물기, 편측저작 등의 구강악습관과 수면, 스트레스 정도 등 생활 습관을 포함합니다. 식이 습관, 자세 등도 언급됩니다.</t>
  </si>
  <si>
    <t>치료 계획 및 경과</t>
  </si>
  <si>
    <t>물리치료, 약물요법, 장치치료, 보톡스 주사 등 계획된 치료 방법과 치료 경과 및 반응을 포함합니다. 치료 계획 변경, 추가 검사 등도 언급됩니다.</t>
  </si>
  <si>
    <t>영상 검사 결과</t>
  </si>
  <si>
    <t>파노라마, 측두하악관절 방사선 사진, CT 등 영상 검사 결과에 대한 판독 소견을 포함합니다. 골 변화, 관절원판 위치 이상 등을 언급합니다.</t>
  </si>
  <si>
    <t>약</t>
  </si>
  <si>
    <t>복용 완료</t>
  </si>
  <si>
    <t>처방된 약을 모두 복용하고 남은 약이 없는 경우</t>
  </si>
  <si>
    <t>일부 복용</t>
  </si>
  <si>
    <t>처방된 약을 일부만 복용하고 남은 약이 있는 경우</t>
  </si>
  <si>
    <t>복용 중단</t>
  </si>
  <si>
    <t>약을 복용하다가 중단한 경우로, 증상 호전, 부작용, 깜빡 잊음 등의 이유로 복용을 중단함</t>
  </si>
  <si>
    <t>미복용</t>
  </si>
  <si>
    <t>처방받은 약을 전혀 복용하지 않은 경우</t>
  </si>
  <si>
    <t>기타</t>
  </si>
  <si>
    <t>다른 약 복용, 약국 처방 등 처방 외의 약을 복용한 경우나 복용 여부가 불명확한 경우</t>
  </si>
  <si>
    <t xml:space="preserve">장치 </t>
  </si>
  <si>
    <t>착용 빈도</t>
  </si>
  <si>
    <t>장치 착용 빈도를 나타냄 (예: 매일, 격일, 주 3회 등)</t>
  </si>
  <si>
    <t>착용 불편감</t>
  </si>
  <si>
    <t>장치 착용 시 불편감 여부 (예: 불편감 없음, 불편감 있음, 통증 등)</t>
  </si>
  <si>
    <t>미착용 영향</t>
  </si>
  <si>
    <t>장치 미착용 시 불편감이나 증상 변화 (예: 불편감 없음, 뻐근함, 치아 통증 등)</t>
  </si>
  <si>
    <t>밴드 사용 여부</t>
  </si>
  <si>
    <t>입술 밴드 사용 여부 (예: 사용함, 사용 안 함)</t>
  </si>
  <si>
    <t>기타 특이사항</t>
  </si>
  <si>
    <t>장치 관련 기타 특이사항 (예: 장치 헐거워짐, 장치 파손, 치료로 인한 미착용 등)</t>
  </si>
  <si>
    <t>습관</t>
  </si>
  <si>
    <t>딱딱하고 질긴 음식 섭취 제한</t>
  </si>
  <si>
    <t>딱딱하거나 질긴 음식을 피하거나 제한적으로 섭취하려는 습관</t>
  </si>
  <si>
    <t>치아 접촉 최소화</t>
  </si>
  <si>
    <t>위아래 치아가 닿지 않도록 의식적으로 힘을 빼려는 습관</t>
  </si>
  <si>
    <t>음식물 섭취 방식 변화</t>
  </si>
  <si>
    <t>음식을 잘게 잘라 먹거나 특정 치아로 씹는 등 섭취 방식을 바꾸는 습관</t>
  </si>
  <si>
    <t>수면 중 이갈이</t>
  </si>
  <si>
    <t>잠들어 있을 때 무의식중에 이를 꽉 물거나 갈게 되는 습관</t>
  </si>
  <si>
    <t xml:space="preserve">찜질 </t>
  </si>
  <si>
    <t>찜질 빈도</t>
  </si>
  <si>
    <t>찜질을 하는 빈도를 나타냅니다. 예: 매일, 주 2-3회, 격일, 주 1회 등</t>
  </si>
  <si>
    <t>찜질 시간</t>
  </si>
  <si>
    <t>찜질을 하는 시간을 나타냅니다. 예: 5분, 10분, 20분, 30분 이상 등</t>
  </si>
  <si>
    <t>찜질 방법</t>
  </si>
  <si>
    <t>찜질을 하는 방법을 나타냅니다. 예: 온찜질, 냉찜질, 온수찜질, 찜질팩 사용 등</t>
  </si>
  <si>
    <t>찜질 도구</t>
  </si>
  <si>
    <t>찜질에 사용되는 도구를 나타냅니다. 예: 찜질팩, 물주머니, 저주파자극기 등</t>
  </si>
  <si>
    <t>찜질 수행 여부</t>
  </si>
  <si>
    <t>찜질을 했는지 안 했는지를 나타냅니다. 예: 했음, 안 했음, 못했음 등</t>
  </si>
  <si>
    <t>마사지, 스트레칭</t>
  </si>
  <si>
    <t>매일</t>
  </si>
  <si>
    <t>마사지와 스트레칭을 매일 하는 경우</t>
  </si>
  <si>
    <t>주 2-3회</t>
  </si>
  <si>
    <t>마사지와 스트레칭을 일주일에 2-3번 정도 하는 경우</t>
  </si>
  <si>
    <t>불규칙</t>
  </si>
  <si>
    <t>마사지와 스트레칭을 불규칙하게 하거나 가끔씩만 하는 경우</t>
  </si>
  <si>
    <t>안함</t>
  </si>
  <si>
    <t>마사지와 스트레칭을 전혀 하지 않는 경우</t>
  </si>
  <si>
    <t>마사지 위주</t>
  </si>
  <si>
    <t>마사지는 하지만 스트레칭은 잘 하지 않는 경우</t>
  </si>
  <si>
    <t>PI</t>
  </si>
  <si>
    <t>측두하악장애 진단</t>
  </si>
  <si>
    <t>파노라마, CT 촬영, 측두하악장애 분석검사 등을 통해 턱관절 질환을 진단하는 내용이 포함됩니다. 주로 턱관절의 퇴행성 관절염(K07.65) 진단이 많이 언급되었습니다.</t>
  </si>
  <si>
    <t>물리치료 및 자극요법</t>
  </si>
  <si>
    <t>저작근 장애(K07.66) 등을 치료하기 위해 다양한 물리치료와 자극요법이 시행되었습니다. 측두하악관절 단순/전기/복합 자극요법, 분사신장치료 등이 자주 언급되었습니다.</t>
  </si>
  <si>
    <t>교합안정장치 치료</t>
  </si>
  <si>
    <t>턱관절 질환 및 치아 교모를 해결하기 위해 교합안정장치(Splint) 치료가 많이 이루어졌습니다. APS, SS 등의 장치 종류가 언급되었고, 장치 제작을 위한 인상채득과 장치 장착 및 조정이 이루어졌습니다.</t>
  </si>
  <si>
    <t>약물 처방</t>
  </si>
  <si>
    <t>턱관절 및 저작근 질환의 통증 조절과 치료를 위해 페리슨, 세크로, 리보트릴, 소론도 등 다양한 약물이 처방되었습니다.</t>
  </si>
  <si>
    <t>기타 치료</t>
  </si>
  <si>
    <t>보톡스 시술, 악관절 강세척술, 고착해소술, 교합조정, 발치 등 턱관절 질환 및 교합 문제 해결을 위한 다양한 치료가 시행되었습니다. 또한 치아 마모, 파절 등의 문제를 해결하기 위한 보철 치료도 일부 언급되었습니다.</t>
  </si>
  <si>
    <t>CMO</t>
  </si>
  <si>
    <t>mm_after_treatment</t>
  </si>
  <si>
    <t>치료(spray and stretch) 후 mm 단위로 측정된 값</t>
  </si>
  <si>
    <t>mm_before_treatment</t>
  </si>
  <si>
    <t>치료 전 mm 단위로 측정된 초기값</t>
  </si>
  <si>
    <t>pain_popping_etc</t>
  </si>
  <si>
    <t>통증, 턱 떨림, 덜컥거림 등 증상에 대한 설명</t>
  </si>
  <si>
    <t>treatment_method</t>
  </si>
  <si>
    <t>적용된 치료 방법 (예: spray and stretch, 고착 등)</t>
  </si>
  <si>
    <t>MMO</t>
  </si>
  <si>
    <t>초기 개구량</t>
  </si>
  <si>
    <t>처치 전 초기 개구량을 mm 단위로 측정한 값입니다. 개구 제한 정도를 파악할 수 있습니다.</t>
  </si>
  <si>
    <t>처치 후 개구량</t>
  </si>
  <si>
    <t>spray, stretch, 고착 등의 처치 후 개선된 개구량을 mm 단위로 측정한 값입니다. 처치에 따른 개구량 변화를 확인할 수 있습니다.</t>
  </si>
  <si>
    <t>통증 여부</t>
  </si>
  <si>
    <t>개구 시 통증 호소 여부를 pain 또는 no pain으로 표시하고 있습니다. 개구 제한과 연관된 통증을 파악할 수 있습니다.</t>
  </si>
  <si>
    <t>좌우 구분</t>
  </si>
  <si>
    <t>Lt(left), Rt(right)로 증상의 방향성을 구분하고 있습니다. 편측성 개구 제한을 확인할 수 있습니다.</t>
  </si>
  <si>
    <t>기타 증상</t>
  </si>
  <si>
    <t>개구 시 걸림(catch), 뻐근함, 관절 잡음(popping) 등 개구 제한과 동반된 기타 증상을 기록하고 있습니다.</t>
  </si>
  <si>
    <t>Cap.pal</t>
  </si>
  <si>
    <t>Negative</t>
  </si>
  <si>
    <t>'-'로 표시된 음성 결과를 나타냅니다. 이는 정상 소견을 의미할 수 있습니다.</t>
  </si>
  <si>
    <t>Unilateral Positive</t>
  </si>
  <si>
    <t>'Rt)+', 'Lt)+' 등으로 표시된 편측성 양성 소견입니다. 우측(Rt) 또는 좌측(Lt)에 국한된 이상 징후를 나타냅니다.</t>
  </si>
  <si>
    <t>Bilateral Positive</t>
  </si>
  <si>
    <t>'both)+', 'BOTH)Cap+' 등으로 표시된 양측성 양성 소견입니다. 좌우 양쪽에서 관찰되는 이상 징후를 의미합니다.</t>
  </si>
  <si>
    <t>Severity</t>
  </si>
  <si>
    <t>'Lt &gt; Rt', '턱떨림 심함' 등 이상 징후의 정도나 심각도를 나타내는 표현입니다. 경증에서 중증까지 다양할 수 있습니다.</t>
  </si>
  <si>
    <t>Unspecified</t>
  </si>
  <si>
    <t>'n/s', 'RT CAP' 등 분류하기 애매하거나 의미가 명확하지 않은 값들입니다. 추가 정보가 필요한 경우들입니다.</t>
  </si>
  <si>
    <t>M.pal</t>
  </si>
  <si>
    <t>Masseter 통증</t>
  </si>
  <si>
    <t>좌측(Lt), 우측(Rt) 또는 양측(both) 교근(Masseter)의 통증 정도를 나타냄. 경도(+/-), 중등도(+), 고도(++)로 표현됨.</t>
  </si>
  <si>
    <t>Temporalis 통증</t>
  </si>
  <si>
    <t>좌측(Lt), 우측(Rt) 또는 양측(both) 측두근(Temporalis)의 통증을 나타냄. 주로 anterior, mid, posterior 부위로 구분됨.</t>
  </si>
  <si>
    <t>압통점(Tender Point)</t>
  </si>
  <si>
    <t>좌측(Lt), 우측(Rt) 또는 양측(both)에 압통점이 있음을 나타냄. 압통점은 근막동통증후군의 주요 진단 기준 중 하나임.</t>
  </si>
  <si>
    <t>SCM 연관통</t>
  </si>
  <si>
    <t>흉쇄유돌근(Sternocleidomastoid, SCM)의 긴장으로 인해 측두부(Temporalis)로 연관통이 나타나는 것을 의미함.</t>
  </si>
  <si>
    <t>기타 소견</t>
  </si>
  <si>
    <t>클릭음(click) 변화, 개구량 변화 등 기타 임상적으로 의미 있는 소견을 나타냄.</t>
  </si>
  <si>
    <t>Noise</t>
  </si>
  <si>
    <t>Click</t>
  </si>
  <si>
    <t>관절을 움직일 때 '딱' 소리가 나는 현상으로, 관절 내 구조물들이 부딪히며 발생하는 소리입니다.</t>
  </si>
  <si>
    <t>Popping</t>
  </si>
  <si>
    <t>관절을 움직일 때 '뻑뻑' 소리가 나는 현상으로, 관절 내 기체가 빠르게 빠져나가며 발생하는 소리입니다.</t>
  </si>
  <si>
    <t>Crepitus</t>
  </si>
  <si>
    <t>관절을 움직일 때 '지직지직' 소리가 나는 현상으로, 관절 연골 표면이 거칠어지며 발생하는 소리입니다.</t>
  </si>
  <si>
    <t>None</t>
  </si>
  <si>
    <t>특별한 관절음이 없는 경우로, 정상 범주에 속합니다.</t>
  </si>
  <si>
    <t>Loading</t>
  </si>
  <si>
    <t>결측치</t>
  </si>
  <si>
    <t>'-'로 표시된 결측치가 대부분을 차지하고 있어 데이터 품질 개선이 필요해 보입니다. 결측치 처리 방안을 마련하는 것이 중요할 것 같습니다.</t>
  </si>
  <si>
    <t>추가조사필요</t>
  </si>
  <si>
    <t>'-'로 표시된 값들이 실제로 어떤 의미를 갖는지 추가 조사가 필요해 보입니다. 데이터 수집 과정을 점검하고 '-'값에 대한 정보를 수집하는 것이 도움될 것 같습니다.</t>
  </si>
  <si>
    <t>이상치제거</t>
  </si>
  <si>
    <t>'-' 이외의 값이 존재한다면 그것이 유효한 값인지, 아니면 이상치인지 판단하여 이상치는 제거하는 것이 좋겠습니다.</t>
  </si>
  <si>
    <t>Occlusion</t>
  </si>
  <si>
    <t>정상교합</t>
  </si>
  <si>
    <t>구치부 교합이 정상적으로 이루어지는 경우. 예) 4567/4567, both4567</t>
  </si>
  <si>
    <t>부분교합</t>
  </si>
  <si>
    <t>구치부 일부 치아만 교합되는 경우. 예) 567/567, Lt)4567 Rt)567</t>
  </si>
  <si>
    <t>비접촉</t>
  </si>
  <si>
    <t>특정 치아가 교합되지 않는 경우. 예) 양쪽 4번 안닿음, Rt 4,5 안닿음</t>
  </si>
  <si>
    <t>마모/상실</t>
  </si>
  <si>
    <t>치아 마모나 상실로 인한 교합 이상. 예) 6번 닳아있음, 치아결손</t>
  </si>
  <si>
    <t>다른 카테고리에 속하지 않는 교합 양상. 예) open bite 경향, 반대교합</t>
  </si>
  <si>
    <t>OJ/OB</t>
  </si>
  <si>
    <t>정상 범위</t>
  </si>
  <si>
    <t>OJ와 OB가 2-4mm 사이로 정상 범위에 속하는 경우</t>
  </si>
  <si>
    <t>과도한 수평피개</t>
  </si>
  <si>
    <t>OJ가 4mm 이상으로 수평적 과도한 피개를 보이는 경우</t>
  </si>
  <si>
    <t>과도한 수직피개</t>
  </si>
  <si>
    <t>OB가 음수값을 가지거나 4mm 이상으로 수직적 과도한 피개를 보이는 경우</t>
  </si>
  <si>
    <t>전치부 개방교합</t>
  </si>
  <si>
    <t>OJ 또는 OB가 0 또는 음수값을 가져 전치부 개방교합을 보이는 경우</t>
  </si>
  <si>
    <t>측정 불가</t>
  </si>
  <si>
    <t>OJ/OB 값이 기록되지 않았거나 측정이 어려운 경우</t>
  </si>
  <si>
    <t>Class</t>
  </si>
  <si>
    <t>숫자형</t>
  </si>
  <si>
    <t>1, 2, 3 등의 숫자 값을 가지는 카테고리입니다. 가장 많은 비중을 차지하고 있습니다.</t>
  </si>
  <si>
    <t>문자형</t>
  </si>
  <si>
    <t>s, E 등의 문자 값을 가지는 카테고리입니다. 숫자형 다음으로 많은 비중을 차지합니다.</t>
  </si>
  <si>
    <t>숫자나 문자가 아닌 값을 가지는 카테고리입니다. '합' 등의 값이 여기에 해당됩니다.</t>
  </si>
  <si>
    <t>값이 존재하지 않는 결측치에 해당하는 카테고리입니다. 전체의 약 10%를 차지하고 있습니다.</t>
  </si>
  <si>
    <t>Midline Shift</t>
  </si>
  <si>
    <t>상악 편위</t>
  </si>
  <si>
    <t>상악이 왼쪽 또는 오른쪽으로 편위된 경우. 편위 방향과 정도(mm)를 포함.</t>
  </si>
  <si>
    <t>하악 편위</t>
  </si>
  <si>
    <t>하악이 왼쪽 또는 오른쪽으로 편위된 경우. 편위 방향과 정도(mm)를 포함.</t>
  </si>
  <si>
    <t>편위 없음</t>
  </si>
  <si>
    <t>상악과 하악에 편위가 관찰되지 않는 경우. '-', '없음', 'n/s' 등으로 표기.</t>
  </si>
  <si>
    <t>편위 여부를 판단할 수 없거나 측정값이 누락된 경우.</t>
  </si>
  <si>
    <t>Deviation</t>
  </si>
  <si>
    <t>Left</t>
  </si>
  <si>
    <t>왼쪽으로 편위(Deviation)가 있는 경우</t>
  </si>
  <si>
    <t>Right</t>
  </si>
  <si>
    <t>오른쪽으로 편위(Deviation)가 있는 경우</t>
  </si>
  <si>
    <t>Straight</t>
  </si>
  <si>
    <t>편위 없이 일직선(Straight)인 경우</t>
  </si>
  <si>
    <t>Mixed</t>
  </si>
  <si>
    <t>왼쪽과 오른쪽 편위가 혼재되어 있는 경우</t>
  </si>
  <si>
    <t>편위 정도가 명시되지 않은 경우</t>
  </si>
  <si>
    <t>CR-CO</t>
  </si>
  <si>
    <t>없음</t>
  </si>
  <si>
    <t>CR-CO 차이가 거의 없거나 없는 경우</t>
  </si>
  <si>
    <t>1mm 이하</t>
  </si>
  <si>
    <t>CR-CO 차이가 1mm 이하인 경우 (예: 0.5mm, 1mm 등)</t>
  </si>
  <si>
    <t>1-2mm</t>
  </si>
  <si>
    <t>CR-CO 차이가 1mm에서 2mm 사이인 경우</t>
  </si>
  <si>
    <t>2mm 초과</t>
  </si>
  <si>
    <t>CR-CO 차이가 2mm를 초과하는 경우</t>
  </si>
  <si>
    <t>방향 표시</t>
  </si>
  <si>
    <t>CR-CO 차이의 방향이 명시된 경우 (예: 오른쪽, 왼쪽, 뒤 등)</t>
  </si>
  <si>
    <t>Tongue ridging</t>
  </si>
  <si>
    <t>Positive</t>
  </si>
  <si>
    <t>Tongue ridging이 관찰되는 경우로, '+', '++', '심함' 등의 값을 포함합니다. 정도에 따라 세부 분류가 가능할 것으로 보입니다.</t>
  </si>
  <si>
    <t>Tongue ridging이 관찰되지 않는 경우로, '-' 값에 해당합니다.</t>
  </si>
  <si>
    <t>Not specified</t>
  </si>
  <si>
    <t>Tongue ridging 여부가 명시되지 않은 경우로, 'n/s' 값을 포함합니다. 추가 조사가 필요한 케이스일 수 있습니다.</t>
  </si>
  <si>
    <t>Mild</t>
  </si>
  <si>
    <t>'살짝'과 같이 경미한 수준의 tongue ridging을 나타내는 경우입니다. Positive 카테고리의 하위 분류로 고려해볼 수 있습니다.</t>
  </si>
  <si>
    <t>Mucosal ridging</t>
  </si>
  <si>
    <t>Mucosal ridging이 존재하는 경우로, '+', '++', '약하게', '조금', '심함' 등의 값이 해당됩니다.</t>
  </si>
  <si>
    <t>Mucosal ridging이 관찰되지 않는 경우로, '-' 값이 해당됩니다.</t>
  </si>
  <si>
    <t>Mucosal ridging 여부가 명시되지 않은 경우로, 'n/s' 값이 해당됩니다.</t>
  </si>
  <si>
    <t>Indeterminate</t>
  </si>
  <si>
    <t>Mucosal ridging 존재 여부가 불확실한 경우로, '(+/-)' 값이 해당됩니다.</t>
  </si>
  <si>
    <t>Rt</t>
  </si>
  <si>
    <t>정상</t>
  </si>
  <si>
    <t>Rt 값이 0.8 ~ 1.3 사이로 정상 범위에 있는 경우</t>
  </si>
  <si>
    <t>경도 이상</t>
  </si>
  <si>
    <t>Rt 값이 1.3 ~ 1.8 사이로 경도의 이상이 의심되는 경우</t>
  </si>
  <si>
    <t>중등도 이상</t>
  </si>
  <si>
    <t>Rt 값이 1.8 ~ 2.3 사이로 중등도의 이상이 의심되는 경우</t>
  </si>
  <si>
    <t>고도 이상</t>
  </si>
  <si>
    <t>Rt 값이 2.3 이상으로 고도의 이상이 의심되는 경우</t>
  </si>
  <si>
    <t>Rt 값이 존재하지 않거나 측정이 불가능한 경우</t>
  </si>
  <si>
    <t>Lt</t>
  </si>
  <si>
    <t>정상범위</t>
  </si>
  <si>
    <t>Lt 값이 정상 범위인 0.8 ~ 1.2 사이에 있는 경우</t>
  </si>
  <si>
    <t>경도상승</t>
  </si>
  <si>
    <t>Lt 값이 1.2 ~ 1.5 사이로 약간 상승한 경우</t>
  </si>
  <si>
    <t>중등도상승</t>
  </si>
  <si>
    <t>Lt 값이 1.5 ~ 2.0 사이로 중간 정도 상승한 경우</t>
  </si>
  <si>
    <t>고도상승</t>
  </si>
  <si>
    <t>Lt 값이 2.0 이상으로 크게 상승한 경우</t>
  </si>
  <si>
    <t>측정누락</t>
  </si>
  <si>
    <t>Lt 값이 측정되지 않았거나 기록되지 않은 경우</t>
  </si>
  <si>
    <t>Lateral excursion Protrusive excursion</t>
  </si>
  <si>
    <t>측정값 없음</t>
  </si>
  <si>
    <t>'-'로 표시된 측정값이 없는 경우로, 데이터의 대부분을 차지함</t>
  </si>
  <si>
    <t>'n/s'로 표시된 측정이 불가능한 경우</t>
  </si>
  <si>
    <t>방향성 있는 측정값</t>
  </si>
  <si>
    <t>'Rt +'와 같이 방향성을 나타내는 측정값이 존재하는 경우</t>
  </si>
  <si>
    <t>위 카테고리에 해당되지 않는 나머지 케이스들</t>
  </si>
  <si>
    <t>End feel</t>
  </si>
  <si>
    <t>Soft</t>
  </si>
  <si>
    <t>End feel이 부드럽고 유연한 경우로, 대부분의 데이터가 이에 해당됩니다. 정상적인 조직 상태를 나타낼 수 있습니다.</t>
  </si>
  <si>
    <t>Hard</t>
  </si>
  <si>
    <t>End feel이 단단하고 뻣뻣한 경우로, 소수의 데이터에서 관찰됩니다. 비정상적인 조직 변화나 병리학적 상태를 시사할 수 있습니다.</t>
  </si>
  <si>
    <t>Intermediate</t>
  </si>
  <si>
    <t>Soft와 Hard의 중간 정도의 End feel로, 경계선상의 상태를 나타낼 수 있습니다. 추가적인 검사가 필요할 수 있습니다.</t>
  </si>
  <si>
    <t>End feel이 명시되지 않은 경우로, 누락된 데이터를 나타냅니다. 데이터 품질 개선이 필요할 수 있습니다.</t>
  </si>
  <si>
    <t>치료계획</t>
  </si>
  <si>
    <t>물리치료</t>
  </si>
  <si>
    <t>물리치료를 통한 증상 완화 및 관리</t>
  </si>
  <si>
    <t>장치 관리</t>
  </si>
  <si>
    <t>교정장치, 스플린트 등의 장치 체크 및 조정</t>
  </si>
  <si>
    <t>습관 조절</t>
  </si>
  <si>
    <t>이갈이, 악습관 등의 습관 교정을 위한 지도</t>
  </si>
  <si>
    <t>약물/주사 치료</t>
  </si>
  <si>
    <t>MMTT, 보톡스, PDRN 등의 약물이나 주사요법</t>
  </si>
  <si>
    <t>경과 관찰</t>
  </si>
  <si>
    <t>증상 체크, 방사선 촬영 등을 통한 주기적 검진 및 경과 확인</t>
  </si>
  <si>
    <t>어떤 장치를 쓰느냐</t>
    <phoneticPr fontId="18" type="noConversion"/>
  </si>
  <si>
    <t>물리치료, 보톡스,</t>
    <phoneticPr fontId="18" type="noConversion"/>
  </si>
  <si>
    <t>관절염 -&gt; 뼈가 녹는다</t>
    <phoneticPr fontId="18" type="noConversion"/>
  </si>
  <si>
    <t>디스크 (입이 안벌려지거나 등등(</t>
    <phoneticPr fontId="18" type="noConversion"/>
  </si>
  <si>
    <t xml:space="preserve">근육 </t>
    <phoneticPr fontId="18" type="noConversion"/>
  </si>
  <si>
    <t>결과적으로 안벌어지거나 소리, 통증 등을 완화하기를 원함.</t>
    <phoneticPr fontId="18" type="noConversion"/>
  </si>
  <si>
    <t>ㅇ</t>
    <phoneticPr fontId="18" type="noConversion"/>
  </si>
  <si>
    <t>CMO 가 가장 중요, 40 이상 되는게 최종 목표, 23 미만이면 빡센 케이스</t>
    <phoneticPr fontId="18" type="noConversion"/>
  </si>
  <si>
    <t>CMO와 MMO 가 비슷해 지면 좋음.</t>
    <phoneticPr fontId="18" type="noConversion"/>
  </si>
  <si>
    <t>Vas -&gt; CC에 들어가있음. 얼마나 아파요 -&gt; 0에 가까워 져야함.</t>
    <phoneticPr fontId="18" type="noConversion"/>
  </si>
  <si>
    <t>capsul palpation, muscle palpation  (- 가 안아픈것, +,- &gt; + 순으로 아파짐, 없는건 + 하나)</t>
    <phoneticPr fontId="18" type="noConversion"/>
  </si>
  <si>
    <t>마이너슥 ㅏ되어야 함. ++ r갯수가 줄다가 -로 가야함.</t>
    <phoneticPr fontId="18" type="noConversion"/>
  </si>
  <si>
    <t>방사선 사진</t>
    <phoneticPr fontId="18" type="noConversion"/>
  </si>
  <si>
    <t>근육 두께, =&gt; 남자는 꽉 물었을때 1.5 미만으로 가는게 목표</t>
    <phoneticPr fontId="18" type="noConversion"/>
  </si>
  <si>
    <t>여자는 1.3 미만으로 가는게 목표</t>
    <phoneticPr fontId="18" type="noConversion"/>
  </si>
  <si>
    <t>LT, RT</t>
    <phoneticPr fontId="18" type="noConversion"/>
  </si>
  <si>
    <t>힘 안줬을때 -&gt; 힘 줬을떄 (중요)</t>
    <phoneticPr fontId="18" type="noConversion"/>
  </si>
  <si>
    <t>deviation L 이 제일 안좋음. S는 낫배드</t>
    <phoneticPr fontId="18" type="noConversion"/>
  </si>
  <si>
    <t>L, S 가 중요. 강도는 날려도 좋다. (고착 후 다 필요 없음)</t>
    <phoneticPr fontId="18" type="noConversion"/>
  </si>
  <si>
    <t>있냐 없냐.</t>
    <phoneticPr fontId="18" type="noConversion"/>
  </si>
  <si>
    <t>노이즈 파핑 = 밖에서 들리는 소리. 파핑에서 클릭으로 되는게 목표</t>
    <phoneticPr fontId="18" type="noConversion"/>
  </si>
  <si>
    <t>고착 , 수푸레이 구분 필용 ㅓㅅㅂ음</t>
    <phoneticPr fontId="18" type="noConversion"/>
  </si>
  <si>
    <t xml:space="preserve">처음 봤을 때 예후를 판단함. 개선량이 많으면 쉬운 케이스 잘 나음. </t>
    <phoneticPr fontId="18" type="noConversion"/>
  </si>
  <si>
    <t>CMO, MMO 한해서, 환자의 첫 방문 이후, 화살표 뒤는 삭제해도 무방</t>
    <phoneticPr fontId="18" type="noConversion"/>
  </si>
  <si>
    <t>MMO, CMO, 캡슐팔페이션, 머슬팔페이션 ㅇ</t>
    <phoneticPr fontId="18" type="noConversion"/>
  </si>
  <si>
    <t>ㅏ</t>
    <phoneticPr fontId="18" type="noConversion"/>
  </si>
  <si>
    <t>공인된 디시전 트리가 있음.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</si>
</sst>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"/>
  <sheetViews>
    <sheetView tabSelected="1" topLeftCell="A88" zoomScale="115" zoomScaleNormal="115" workbookViewId="0">
      <selection activeCell="C94" sqref="C94"/>
    </sheetView>
  </sheetViews>
  <sheetFormatPr baseColWidth="10" defaultRowHeight="18"/>
  <cols>
    <col min="1" max="1" width="15.28515625" customWidth="1"/>
    <col min="2" max="2" width="23" customWidth="1"/>
    <col min="3" max="3" width="183.42578125" bestFit="1" customWidth="1"/>
  </cols>
  <sheetData>
    <row r="1" spans="1:7">
      <c r="A1" t="s">
        <v>0</v>
      </c>
      <c r="B1" t="s">
        <v>1</v>
      </c>
      <c r="C1" t="s">
        <v>2</v>
      </c>
      <c r="E1" t="str">
        <f>A1&amp;","</f>
        <v>column,</v>
      </c>
      <c r="F1" t="str">
        <f>B1&amp;","</f>
        <v>category_name,</v>
      </c>
      <c r="G1" t="str">
        <f>C1</f>
        <v>description</v>
      </c>
    </row>
    <row r="2" spans="1:7">
      <c r="A2" t="s">
        <v>3</v>
      </c>
      <c r="B2" t="s">
        <v>4</v>
      </c>
      <c r="C2" t="s">
        <v>5</v>
      </c>
      <c r="E2" t="str">
        <f t="shared" ref="E2:E65" si="0">A2&amp;","</f>
        <v>CC,</v>
      </c>
      <c r="F2" t="str">
        <f t="shared" ref="F2:F65" si="1">B2&amp;","</f>
        <v>증상,</v>
      </c>
      <c r="G2" t="str">
        <f t="shared" ref="G2:G65" si="2">C2</f>
        <v>환자가 호소하는 주요 증상으로 통증, 불편감, 관절음, 개구제한 등이 포함됩니다. 증상의 위치, 정도, 양상, 지속시간 등을 상세히 기록합니다.</v>
      </c>
    </row>
    <row r="3" spans="1:7">
      <c r="A3" t="s">
        <v>3</v>
      </c>
      <c r="B3" t="s">
        <v>6</v>
      </c>
      <c r="C3" t="s">
        <v>7</v>
      </c>
      <c r="E3" t="str">
        <f t="shared" si="0"/>
        <v>CC,</v>
      </c>
      <c r="F3" t="str">
        <f t="shared" si="1"/>
        <v>병력,</v>
      </c>
      <c r="G3" t="str">
        <f t="shared" si="2"/>
        <v>턱관절장애 관련 과거 병력, 치료 이력, 발병 시기 및 계기 등을 포함합니다. 교정 치료, 외상, 수술 등이 언급되는 경우가 많습니다.</v>
      </c>
    </row>
    <row r="4" spans="1:7">
      <c r="A4" t="s">
        <v>3</v>
      </c>
      <c r="B4" t="s">
        <v>8</v>
      </c>
      <c r="C4" t="s">
        <v>9</v>
      </c>
      <c r="E4" t="str">
        <f t="shared" si="0"/>
        <v>CC,</v>
      </c>
      <c r="F4" t="str">
        <f t="shared" si="1"/>
        <v>습관 및 생활 패턴,</v>
      </c>
      <c r="G4" t="str">
        <f t="shared" si="2"/>
        <v>이갈이, 이악물기, 편측저작 등의 구강악습관과 수면, 스트레스 정도 등 생활 습관을 포함합니다. 식이 습관, 자세 등도 언급됩니다.</v>
      </c>
    </row>
    <row r="5" spans="1:7">
      <c r="A5" t="s">
        <v>3</v>
      </c>
      <c r="B5" t="s">
        <v>10</v>
      </c>
      <c r="C5" t="s">
        <v>11</v>
      </c>
      <c r="E5" t="str">
        <f t="shared" si="0"/>
        <v>CC,</v>
      </c>
      <c r="F5" t="str">
        <f t="shared" si="1"/>
        <v>치료 계획 및 경과,</v>
      </c>
      <c r="G5" t="str">
        <f t="shared" si="2"/>
        <v>물리치료, 약물요법, 장치치료, 보톡스 주사 등 계획된 치료 방법과 치료 경과 및 반응을 포함합니다. 치료 계획 변경, 추가 검사 등도 언급됩니다.</v>
      </c>
    </row>
    <row r="6" spans="1:7">
      <c r="A6" t="s">
        <v>3</v>
      </c>
      <c r="B6" t="s">
        <v>12</v>
      </c>
      <c r="C6" t="s">
        <v>13</v>
      </c>
      <c r="E6" t="str">
        <f t="shared" si="0"/>
        <v>CC,</v>
      </c>
      <c r="F6" t="str">
        <f t="shared" si="1"/>
        <v>영상 검사 결과,</v>
      </c>
      <c r="G6" t="str">
        <f t="shared" si="2"/>
        <v>파노라마, 측두하악관절 방사선 사진, CT 등 영상 검사 결과에 대한 판독 소견을 포함합니다. 골 변화, 관절원판 위치 이상 등을 언급합니다.</v>
      </c>
    </row>
    <row r="7" spans="1:7">
      <c r="A7" t="s">
        <v>14</v>
      </c>
      <c r="B7" t="s">
        <v>15</v>
      </c>
      <c r="C7" t="s">
        <v>16</v>
      </c>
      <c r="E7" t="str">
        <f t="shared" si="0"/>
        <v>약,</v>
      </c>
      <c r="F7" t="str">
        <f t="shared" si="1"/>
        <v>복용 완료,</v>
      </c>
      <c r="G7" t="str">
        <f t="shared" si="2"/>
        <v>처방된 약을 모두 복용하고 남은 약이 없는 경우</v>
      </c>
    </row>
    <row r="8" spans="1:7">
      <c r="A8" t="s">
        <v>14</v>
      </c>
      <c r="B8" t="s">
        <v>17</v>
      </c>
      <c r="C8" t="s">
        <v>18</v>
      </c>
      <c r="E8" t="str">
        <f t="shared" si="0"/>
        <v>약,</v>
      </c>
      <c r="F8" t="str">
        <f t="shared" si="1"/>
        <v>일부 복용,</v>
      </c>
      <c r="G8" t="str">
        <f t="shared" si="2"/>
        <v>처방된 약을 일부만 복용하고 남은 약이 있는 경우</v>
      </c>
    </row>
    <row r="9" spans="1:7">
      <c r="A9" t="s">
        <v>14</v>
      </c>
      <c r="B9" t="s">
        <v>19</v>
      </c>
      <c r="C9" t="s">
        <v>20</v>
      </c>
      <c r="E9" t="str">
        <f t="shared" si="0"/>
        <v>약,</v>
      </c>
      <c r="F9" t="str">
        <f t="shared" si="1"/>
        <v>복용 중단,</v>
      </c>
      <c r="G9" t="str">
        <f t="shared" si="2"/>
        <v>약을 복용하다가 중단한 경우로, 증상 호전, 부작용, 깜빡 잊음 등의 이유로 복용을 중단함</v>
      </c>
    </row>
    <row r="10" spans="1:7">
      <c r="A10" t="s">
        <v>14</v>
      </c>
      <c r="B10" t="s">
        <v>21</v>
      </c>
      <c r="C10" t="s">
        <v>22</v>
      </c>
      <c r="E10" t="str">
        <f t="shared" si="0"/>
        <v>약,</v>
      </c>
      <c r="F10" t="str">
        <f t="shared" si="1"/>
        <v>미복용,</v>
      </c>
      <c r="G10" t="str">
        <f t="shared" si="2"/>
        <v>처방받은 약을 전혀 복용하지 않은 경우</v>
      </c>
    </row>
    <row r="11" spans="1:7">
      <c r="A11" t="s">
        <v>14</v>
      </c>
      <c r="B11" t="s">
        <v>23</v>
      </c>
      <c r="C11" t="s">
        <v>24</v>
      </c>
      <c r="E11" t="str">
        <f t="shared" si="0"/>
        <v>약,</v>
      </c>
      <c r="F11" t="str">
        <f t="shared" si="1"/>
        <v>기타,</v>
      </c>
      <c r="G11" t="str">
        <f t="shared" si="2"/>
        <v>다른 약 복용, 약국 처방 등 처방 외의 약을 복용한 경우나 복용 여부가 불명확한 경우</v>
      </c>
    </row>
    <row r="12" spans="1:7">
      <c r="A12" t="s">
        <v>25</v>
      </c>
      <c r="B12" t="s">
        <v>26</v>
      </c>
      <c r="C12" t="s">
        <v>27</v>
      </c>
      <c r="E12" t="str">
        <f t="shared" si="0"/>
        <v>장치 ,</v>
      </c>
      <c r="F12" t="str">
        <f t="shared" si="1"/>
        <v>착용 빈도,</v>
      </c>
      <c r="G12" t="str">
        <f t="shared" si="2"/>
        <v>장치 착용 빈도를 나타냄 (예: 매일, 격일, 주 3회 등)</v>
      </c>
    </row>
    <row r="13" spans="1:7">
      <c r="A13" t="s">
        <v>25</v>
      </c>
      <c r="B13" t="s">
        <v>28</v>
      </c>
      <c r="C13" t="s">
        <v>29</v>
      </c>
      <c r="E13" t="str">
        <f t="shared" si="0"/>
        <v>장치 ,</v>
      </c>
      <c r="F13" t="str">
        <f t="shared" si="1"/>
        <v>착용 불편감,</v>
      </c>
      <c r="G13" t="str">
        <f t="shared" si="2"/>
        <v>장치 착용 시 불편감 여부 (예: 불편감 없음, 불편감 있음, 통증 등)</v>
      </c>
    </row>
    <row r="14" spans="1:7">
      <c r="A14" t="s">
        <v>25</v>
      </c>
      <c r="B14" t="s">
        <v>30</v>
      </c>
      <c r="C14" t="s">
        <v>31</v>
      </c>
      <c r="E14" t="str">
        <f t="shared" si="0"/>
        <v>장치 ,</v>
      </c>
      <c r="F14" t="str">
        <f t="shared" si="1"/>
        <v>미착용 영향,</v>
      </c>
      <c r="G14" t="str">
        <f t="shared" si="2"/>
        <v>장치 미착용 시 불편감이나 증상 변화 (예: 불편감 없음, 뻐근함, 치아 통증 등)</v>
      </c>
    </row>
    <row r="15" spans="1:7">
      <c r="A15" t="s">
        <v>25</v>
      </c>
      <c r="B15" t="s">
        <v>32</v>
      </c>
      <c r="C15" t="s">
        <v>33</v>
      </c>
      <c r="E15" t="str">
        <f t="shared" si="0"/>
        <v>장치 ,</v>
      </c>
      <c r="F15" t="str">
        <f t="shared" si="1"/>
        <v>밴드 사용 여부,</v>
      </c>
      <c r="G15" t="str">
        <f t="shared" si="2"/>
        <v>입술 밴드 사용 여부 (예: 사용함, 사용 안 함)</v>
      </c>
    </row>
    <row r="16" spans="1:7">
      <c r="A16" t="s">
        <v>25</v>
      </c>
      <c r="B16" t="s">
        <v>34</v>
      </c>
      <c r="C16" t="s">
        <v>35</v>
      </c>
      <c r="E16" t="str">
        <f t="shared" si="0"/>
        <v>장치 ,</v>
      </c>
      <c r="F16" t="str">
        <f t="shared" si="1"/>
        <v>기타 특이사항,</v>
      </c>
      <c r="G16" t="str">
        <f t="shared" si="2"/>
        <v>장치 관련 기타 특이사항 (예: 장치 헐거워짐, 장치 파손, 치료로 인한 미착용 등)</v>
      </c>
    </row>
    <row r="17" spans="1:7">
      <c r="A17" t="s">
        <v>36</v>
      </c>
      <c r="B17" t="s">
        <v>37</v>
      </c>
      <c r="C17" t="s">
        <v>38</v>
      </c>
      <c r="E17" t="str">
        <f t="shared" si="0"/>
        <v>습관,</v>
      </c>
      <c r="F17" t="str">
        <f t="shared" si="1"/>
        <v>딱딱하고 질긴 음식 섭취 제한,</v>
      </c>
      <c r="G17" t="str">
        <f t="shared" si="2"/>
        <v>딱딱하거나 질긴 음식을 피하거나 제한적으로 섭취하려는 습관</v>
      </c>
    </row>
    <row r="18" spans="1:7">
      <c r="A18" t="s">
        <v>36</v>
      </c>
      <c r="B18" t="s">
        <v>39</v>
      </c>
      <c r="C18" t="s">
        <v>40</v>
      </c>
      <c r="E18" t="str">
        <f t="shared" si="0"/>
        <v>습관,</v>
      </c>
      <c r="F18" t="str">
        <f t="shared" si="1"/>
        <v>치아 접촉 최소화,</v>
      </c>
      <c r="G18" t="str">
        <f t="shared" si="2"/>
        <v>위아래 치아가 닿지 않도록 의식적으로 힘을 빼려는 습관</v>
      </c>
    </row>
    <row r="19" spans="1:7">
      <c r="A19" t="s">
        <v>36</v>
      </c>
      <c r="B19" t="s">
        <v>41</v>
      </c>
      <c r="C19" t="s">
        <v>42</v>
      </c>
      <c r="E19" t="str">
        <f t="shared" si="0"/>
        <v>습관,</v>
      </c>
      <c r="F19" t="str">
        <f t="shared" si="1"/>
        <v>음식물 섭취 방식 변화,</v>
      </c>
      <c r="G19" t="str">
        <f t="shared" si="2"/>
        <v>음식을 잘게 잘라 먹거나 특정 치아로 씹는 등 섭취 방식을 바꾸는 습관</v>
      </c>
    </row>
    <row r="20" spans="1:7">
      <c r="A20" t="s">
        <v>36</v>
      </c>
      <c r="B20" t="s">
        <v>43</v>
      </c>
      <c r="C20" t="s">
        <v>44</v>
      </c>
      <c r="E20" t="str">
        <f t="shared" si="0"/>
        <v>습관,</v>
      </c>
      <c r="F20" t="str">
        <f t="shared" si="1"/>
        <v>수면 중 이갈이,</v>
      </c>
      <c r="G20" t="str">
        <f t="shared" si="2"/>
        <v>잠들어 있을 때 무의식중에 이를 꽉 물거나 갈게 되는 습관</v>
      </c>
    </row>
    <row r="21" spans="1:7">
      <c r="A21" t="s">
        <v>45</v>
      </c>
      <c r="B21" t="s">
        <v>46</v>
      </c>
      <c r="C21" t="s">
        <v>47</v>
      </c>
      <c r="E21" t="str">
        <f t="shared" si="0"/>
        <v>찜질 ,</v>
      </c>
      <c r="F21" t="str">
        <f t="shared" si="1"/>
        <v>찜질 빈도,</v>
      </c>
      <c r="G21" t="str">
        <f t="shared" si="2"/>
        <v>찜질을 하는 빈도를 나타냅니다. 예: 매일, 주 2-3회, 격일, 주 1회 등</v>
      </c>
    </row>
    <row r="22" spans="1:7">
      <c r="A22" t="s">
        <v>45</v>
      </c>
      <c r="B22" t="s">
        <v>48</v>
      </c>
      <c r="C22" t="s">
        <v>49</v>
      </c>
      <c r="E22" t="str">
        <f t="shared" si="0"/>
        <v>찜질 ,</v>
      </c>
      <c r="F22" t="str">
        <f t="shared" si="1"/>
        <v>찜질 시간,</v>
      </c>
      <c r="G22" t="str">
        <f t="shared" si="2"/>
        <v>찜질을 하는 시간을 나타냅니다. 예: 5분, 10분, 20분, 30분 이상 등</v>
      </c>
    </row>
    <row r="23" spans="1:7">
      <c r="A23" t="s">
        <v>45</v>
      </c>
      <c r="B23" t="s">
        <v>50</v>
      </c>
      <c r="C23" t="s">
        <v>51</v>
      </c>
      <c r="E23" t="str">
        <f t="shared" si="0"/>
        <v>찜질 ,</v>
      </c>
      <c r="F23" t="str">
        <f t="shared" si="1"/>
        <v>찜질 방법,</v>
      </c>
      <c r="G23" t="str">
        <f t="shared" si="2"/>
        <v>찜질을 하는 방법을 나타냅니다. 예: 온찜질, 냉찜질, 온수찜질, 찜질팩 사용 등</v>
      </c>
    </row>
    <row r="24" spans="1:7">
      <c r="A24" t="s">
        <v>45</v>
      </c>
      <c r="B24" t="s">
        <v>52</v>
      </c>
      <c r="C24" t="s">
        <v>53</v>
      </c>
      <c r="E24" t="str">
        <f t="shared" si="0"/>
        <v>찜질 ,</v>
      </c>
      <c r="F24" t="str">
        <f t="shared" si="1"/>
        <v>찜질 도구,</v>
      </c>
      <c r="G24" t="str">
        <f t="shared" si="2"/>
        <v>찜질에 사용되는 도구를 나타냅니다. 예: 찜질팩, 물주머니, 저주파자극기 등</v>
      </c>
    </row>
    <row r="25" spans="1:7">
      <c r="A25" t="s">
        <v>45</v>
      </c>
      <c r="B25" t="s">
        <v>54</v>
      </c>
      <c r="C25" t="s">
        <v>55</v>
      </c>
      <c r="E25" t="str">
        <f t="shared" si="0"/>
        <v>찜질 ,</v>
      </c>
      <c r="F25" t="str">
        <f t="shared" si="1"/>
        <v>찜질 수행 여부,</v>
      </c>
      <c r="G25" t="str">
        <f t="shared" si="2"/>
        <v>찜질을 했는지 안 했는지를 나타냅니다. 예: 했음, 안 했음, 못했음 등</v>
      </c>
    </row>
    <row r="26" spans="1:7">
      <c r="A26" t="s">
        <v>56</v>
      </c>
      <c r="B26" t="s">
        <v>57</v>
      </c>
      <c r="C26" t="s">
        <v>58</v>
      </c>
      <c r="E26" t="str">
        <f t="shared" si="0"/>
        <v>마사지, 스트레칭,</v>
      </c>
      <c r="F26" t="str">
        <f t="shared" si="1"/>
        <v>매일,</v>
      </c>
      <c r="G26" t="str">
        <f t="shared" si="2"/>
        <v>마사지와 스트레칭을 매일 하는 경우</v>
      </c>
    </row>
    <row r="27" spans="1:7">
      <c r="A27" t="s">
        <v>56</v>
      </c>
      <c r="B27" t="s">
        <v>59</v>
      </c>
      <c r="C27" t="s">
        <v>60</v>
      </c>
      <c r="E27" t="str">
        <f t="shared" si="0"/>
        <v>마사지, 스트레칭,</v>
      </c>
      <c r="F27" t="str">
        <f t="shared" si="1"/>
        <v>주 2-3회,</v>
      </c>
      <c r="G27" t="str">
        <f t="shared" si="2"/>
        <v>마사지와 스트레칭을 일주일에 2-3번 정도 하는 경우</v>
      </c>
    </row>
    <row r="28" spans="1:7">
      <c r="A28" t="s">
        <v>56</v>
      </c>
      <c r="B28" t="s">
        <v>61</v>
      </c>
      <c r="C28" t="s">
        <v>62</v>
      </c>
      <c r="E28" t="str">
        <f t="shared" si="0"/>
        <v>마사지, 스트레칭,</v>
      </c>
      <c r="F28" t="str">
        <f t="shared" si="1"/>
        <v>불규칙,</v>
      </c>
      <c r="G28" t="str">
        <f t="shared" si="2"/>
        <v>마사지와 스트레칭을 불규칙하게 하거나 가끔씩만 하는 경우</v>
      </c>
    </row>
    <row r="29" spans="1:7">
      <c r="A29" t="s">
        <v>56</v>
      </c>
      <c r="B29" t="s">
        <v>63</v>
      </c>
      <c r="C29" t="s">
        <v>64</v>
      </c>
      <c r="E29" t="str">
        <f t="shared" si="0"/>
        <v>마사지, 스트레칭,</v>
      </c>
      <c r="F29" t="str">
        <f t="shared" si="1"/>
        <v>안함,</v>
      </c>
      <c r="G29" t="str">
        <f t="shared" si="2"/>
        <v>마사지와 스트레칭을 전혀 하지 않는 경우</v>
      </c>
    </row>
    <row r="30" spans="1:7">
      <c r="A30" t="s">
        <v>56</v>
      </c>
      <c r="B30" t="s">
        <v>65</v>
      </c>
      <c r="C30" t="s">
        <v>66</v>
      </c>
      <c r="E30" t="str">
        <f t="shared" si="0"/>
        <v>마사지, 스트레칭,</v>
      </c>
      <c r="F30" t="str">
        <f t="shared" si="1"/>
        <v>마사지 위주,</v>
      </c>
      <c r="G30" t="str">
        <f t="shared" si="2"/>
        <v>마사지는 하지만 스트레칭은 잘 하지 않는 경우</v>
      </c>
    </row>
    <row r="31" spans="1:7">
      <c r="A31" t="s">
        <v>67</v>
      </c>
      <c r="B31" t="s">
        <v>68</v>
      </c>
      <c r="C31" t="s">
        <v>69</v>
      </c>
      <c r="E31" t="str">
        <f t="shared" si="0"/>
        <v>PI,</v>
      </c>
      <c r="F31" t="str">
        <f t="shared" si="1"/>
        <v>측두하악장애 진단,</v>
      </c>
      <c r="G31" t="str">
        <f t="shared" si="2"/>
        <v>파노라마, CT 촬영, 측두하악장애 분석검사 등을 통해 턱관절 질환을 진단하는 내용이 포함됩니다. 주로 턱관절의 퇴행성 관절염(K07.65) 진단이 많이 언급되었습니다.</v>
      </c>
    </row>
    <row r="32" spans="1:7">
      <c r="A32" t="s">
        <v>67</v>
      </c>
      <c r="B32" t="s">
        <v>70</v>
      </c>
      <c r="C32" t="s">
        <v>71</v>
      </c>
      <c r="E32" t="str">
        <f t="shared" si="0"/>
        <v>PI,</v>
      </c>
      <c r="F32" t="str">
        <f t="shared" si="1"/>
        <v>물리치료 및 자극요법,</v>
      </c>
      <c r="G32" t="str">
        <f t="shared" si="2"/>
        <v>저작근 장애(K07.66) 등을 치료하기 위해 다양한 물리치료와 자극요법이 시행되었습니다. 측두하악관절 단순/전기/복합 자극요법, 분사신장치료 등이 자주 언급되었습니다.</v>
      </c>
    </row>
    <row r="33" spans="1:7">
      <c r="A33" t="s">
        <v>67</v>
      </c>
      <c r="B33" t="s">
        <v>72</v>
      </c>
      <c r="C33" t="s">
        <v>73</v>
      </c>
      <c r="E33" t="str">
        <f t="shared" si="0"/>
        <v>PI,</v>
      </c>
      <c r="F33" t="str">
        <f t="shared" si="1"/>
        <v>교합안정장치 치료,</v>
      </c>
      <c r="G33" t="str">
        <f t="shared" si="2"/>
        <v>턱관절 질환 및 치아 교모를 해결하기 위해 교합안정장치(Splint) 치료가 많이 이루어졌습니다. APS, SS 등의 장치 종류가 언급되었고, 장치 제작을 위한 인상채득과 장치 장착 및 조정이 이루어졌습니다.</v>
      </c>
    </row>
    <row r="34" spans="1:7">
      <c r="A34" t="s">
        <v>67</v>
      </c>
      <c r="B34" t="s">
        <v>74</v>
      </c>
      <c r="C34" t="s">
        <v>75</v>
      </c>
      <c r="E34" t="str">
        <f t="shared" si="0"/>
        <v>PI,</v>
      </c>
      <c r="F34" t="str">
        <f t="shared" si="1"/>
        <v>약물 처방,</v>
      </c>
      <c r="G34" t="str">
        <f t="shared" si="2"/>
        <v>턱관절 및 저작근 질환의 통증 조절과 치료를 위해 페리슨, 세크로, 리보트릴, 소론도 등 다양한 약물이 처방되었습니다.</v>
      </c>
    </row>
    <row r="35" spans="1:7">
      <c r="A35" t="s">
        <v>67</v>
      </c>
      <c r="B35" t="s">
        <v>76</v>
      </c>
      <c r="C35" t="s">
        <v>77</v>
      </c>
      <c r="E35" t="str">
        <f t="shared" si="0"/>
        <v>PI,</v>
      </c>
      <c r="F35" t="str">
        <f t="shared" si="1"/>
        <v>기타 치료,</v>
      </c>
      <c r="G35" t="str">
        <f t="shared" si="2"/>
        <v>보톡스 시술, 악관절 강세척술, 고착해소술, 교합조정, 발치 등 턱관절 질환 및 교합 문제 해결을 위한 다양한 치료가 시행되었습니다. 또한 치아 마모, 파절 등의 문제를 해결하기 위한 보철 치료도 일부 언급되었습니다.</v>
      </c>
    </row>
    <row r="36" spans="1:7">
      <c r="A36" t="s">
        <v>78</v>
      </c>
      <c r="B36" t="s">
        <v>79</v>
      </c>
      <c r="C36" t="s">
        <v>80</v>
      </c>
      <c r="E36" t="str">
        <f t="shared" si="0"/>
        <v>CMO,</v>
      </c>
      <c r="F36" t="str">
        <f t="shared" si="1"/>
        <v>mm_after_treatment,</v>
      </c>
      <c r="G36" t="str">
        <f t="shared" si="2"/>
        <v>치료(spray and stretch) 후 mm 단위로 측정된 값</v>
      </c>
    </row>
    <row r="37" spans="1:7">
      <c r="A37" t="s">
        <v>78</v>
      </c>
      <c r="B37" t="s">
        <v>81</v>
      </c>
      <c r="C37" t="s">
        <v>82</v>
      </c>
      <c r="E37" t="str">
        <f t="shared" si="0"/>
        <v>CMO,</v>
      </c>
      <c r="F37" t="str">
        <f t="shared" si="1"/>
        <v>mm_before_treatment,</v>
      </c>
      <c r="G37" t="str">
        <f t="shared" si="2"/>
        <v>치료 전 mm 단위로 측정된 초기값</v>
      </c>
    </row>
    <row r="38" spans="1:7">
      <c r="A38" t="s">
        <v>78</v>
      </c>
      <c r="B38" t="s">
        <v>83</v>
      </c>
      <c r="C38" t="s">
        <v>84</v>
      </c>
      <c r="E38" t="str">
        <f t="shared" si="0"/>
        <v>CMO,</v>
      </c>
      <c r="F38" t="str">
        <f t="shared" si="1"/>
        <v>pain_popping_etc,</v>
      </c>
      <c r="G38" t="str">
        <f t="shared" si="2"/>
        <v>통증, 턱 떨림, 덜컥거림 등 증상에 대한 설명</v>
      </c>
    </row>
    <row r="39" spans="1:7">
      <c r="A39" t="s">
        <v>78</v>
      </c>
      <c r="B39" t="s">
        <v>85</v>
      </c>
      <c r="C39" t="s">
        <v>86</v>
      </c>
      <c r="E39" t="str">
        <f t="shared" si="0"/>
        <v>CMO,</v>
      </c>
      <c r="F39" t="str">
        <f t="shared" si="1"/>
        <v>treatment_method,</v>
      </c>
      <c r="G39" t="str">
        <f t="shared" si="2"/>
        <v>적용된 치료 방법 (예: spray and stretch, 고착 등)</v>
      </c>
    </row>
    <row r="40" spans="1:7">
      <c r="A40" t="s">
        <v>87</v>
      </c>
      <c r="B40" t="s">
        <v>88</v>
      </c>
      <c r="C40" t="s">
        <v>89</v>
      </c>
      <c r="E40" t="str">
        <f t="shared" si="0"/>
        <v>MMO,</v>
      </c>
      <c r="F40" t="str">
        <f t="shared" si="1"/>
        <v>초기 개구량,</v>
      </c>
      <c r="G40" t="str">
        <f t="shared" si="2"/>
        <v>처치 전 초기 개구량을 mm 단위로 측정한 값입니다. 개구 제한 정도를 파악할 수 있습니다.</v>
      </c>
    </row>
    <row r="41" spans="1:7">
      <c r="A41" t="s">
        <v>87</v>
      </c>
      <c r="B41" t="s">
        <v>90</v>
      </c>
      <c r="C41" t="s">
        <v>91</v>
      </c>
      <c r="E41" t="str">
        <f t="shared" si="0"/>
        <v>MMO,</v>
      </c>
      <c r="F41" t="str">
        <f t="shared" si="1"/>
        <v>처치 후 개구량,</v>
      </c>
      <c r="G41" t="str">
        <f t="shared" si="2"/>
        <v>spray, stretch, 고착 등의 처치 후 개선된 개구량을 mm 단위로 측정한 값입니다. 처치에 따른 개구량 변화를 확인할 수 있습니다.</v>
      </c>
    </row>
    <row r="42" spans="1:7">
      <c r="A42" t="s">
        <v>87</v>
      </c>
      <c r="B42" t="s">
        <v>92</v>
      </c>
      <c r="C42" t="s">
        <v>93</v>
      </c>
      <c r="E42" t="str">
        <f t="shared" si="0"/>
        <v>MMO,</v>
      </c>
      <c r="F42" t="str">
        <f t="shared" si="1"/>
        <v>통증 여부,</v>
      </c>
      <c r="G42" t="str">
        <f t="shared" si="2"/>
        <v>개구 시 통증 호소 여부를 pain 또는 no pain으로 표시하고 있습니다. 개구 제한과 연관된 통증을 파악할 수 있습니다.</v>
      </c>
    </row>
    <row r="43" spans="1:7">
      <c r="A43" t="s">
        <v>87</v>
      </c>
      <c r="B43" t="s">
        <v>94</v>
      </c>
      <c r="C43" t="s">
        <v>95</v>
      </c>
      <c r="E43" t="str">
        <f t="shared" si="0"/>
        <v>MMO,</v>
      </c>
      <c r="F43" t="str">
        <f t="shared" si="1"/>
        <v>좌우 구분,</v>
      </c>
      <c r="G43" t="str">
        <f t="shared" si="2"/>
        <v>Lt(left), Rt(right)로 증상의 방향성을 구분하고 있습니다. 편측성 개구 제한을 확인할 수 있습니다.</v>
      </c>
    </row>
    <row r="44" spans="1:7">
      <c r="A44" t="s">
        <v>87</v>
      </c>
      <c r="B44" t="s">
        <v>96</v>
      </c>
      <c r="C44" t="s">
        <v>97</v>
      </c>
      <c r="E44" t="str">
        <f t="shared" si="0"/>
        <v>MMO,</v>
      </c>
      <c r="F44" t="str">
        <f t="shared" si="1"/>
        <v>기타 증상,</v>
      </c>
      <c r="G44" t="str">
        <f t="shared" si="2"/>
        <v>개구 시 걸림(catch), 뻐근함, 관절 잡음(popping) 등 개구 제한과 동반된 기타 증상을 기록하고 있습니다.</v>
      </c>
    </row>
    <row r="45" spans="1:7">
      <c r="A45" t="s">
        <v>98</v>
      </c>
      <c r="B45" t="s">
        <v>99</v>
      </c>
      <c r="C45" t="s">
        <v>100</v>
      </c>
      <c r="E45" t="str">
        <f t="shared" si="0"/>
        <v>Cap.pal,</v>
      </c>
      <c r="F45" t="str">
        <f t="shared" si="1"/>
        <v>Negative,</v>
      </c>
      <c r="G45" t="str">
        <f t="shared" si="2"/>
        <v>'-'로 표시된 음성 결과를 나타냅니다. 이는 정상 소견을 의미할 수 있습니다.</v>
      </c>
    </row>
    <row r="46" spans="1:7">
      <c r="A46" t="s">
        <v>98</v>
      </c>
      <c r="B46" t="s">
        <v>101</v>
      </c>
      <c r="C46" t="s">
        <v>102</v>
      </c>
      <c r="E46" t="str">
        <f t="shared" si="0"/>
        <v>Cap.pal,</v>
      </c>
      <c r="F46" t="str">
        <f t="shared" si="1"/>
        <v>Unilateral Positive,</v>
      </c>
      <c r="G46" t="str">
        <f t="shared" si="2"/>
        <v>'Rt)+', 'Lt)+' 등으로 표시된 편측성 양성 소견입니다. 우측(Rt) 또는 좌측(Lt)에 국한된 이상 징후를 나타냅니다.</v>
      </c>
    </row>
    <row r="47" spans="1:7">
      <c r="A47" t="s">
        <v>98</v>
      </c>
      <c r="B47" t="s">
        <v>103</v>
      </c>
      <c r="C47" t="s">
        <v>104</v>
      </c>
      <c r="E47" t="str">
        <f t="shared" si="0"/>
        <v>Cap.pal,</v>
      </c>
      <c r="F47" t="str">
        <f t="shared" si="1"/>
        <v>Bilateral Positive,</v>
      </c>
      <c r="G47" t="str">
        <f t="shared" si="2"/>
        <v>'both)+', 'BOTH)Cap+' 등으로 표시된 양측성 양성 소견입니다. 좌우 양쪽에서 관찰되는 이상 징후를 의미합니다.</v>
      </c>
    </row>
    <row r="48" spans="1:7">
      <c r="A48" t="s">
        <v>98</v>
      </c>
      <c r="B48" t="s">
        <v>105</v>
      </c>
      <c r="C48" t="s">
        <v>106</v>
      </c>
      <c r="E48" t="str">
        <f t="shared" si="0"/>
        <v>Cap.pal,</v>
      </c>
      <c r="F48" t="str">
        <f t="shared" si="1"/>
        <v>Severity,</v>
      </c>
      <c r="G48" t="str">
        <f t="shared" si="2"/>
        <v>'Lt &gt; Rt', '턱떨림 심함' 등 이상 징후의 정도나 심각도를 나타내는 표현입니다. 경증에서 중증까지 다양할 수 있습니다.</v>
      </c>
    </row>
    <row r="49" spans="1:7">
      <c r="A49" t="s">
        <v>98</v>
      </c>
      <c r="B49" t="s">
        <v>107</v>
      </c>
      <c r="C49" t="s">
        <v>108</v>
      </c>
      <c r="E49" t="str">
        <f t="shared" si="0"/>
        <v>Cap.pal,</v>
      </c>
      <c r="F49" t="str">
        <f t="shared" si="1"/>
        <v>Unspecified,</v>
      </c>
      <c r="G49" t="str">
        <f t="shared" si="2"/>
        <v>'n/s', 'RT CAP' 등 분류하기 애매하거나 의미가 명확하지 않은 값들입니다. 추가 정보가 필요한 경우들입니다.</v>
      </c>
    </row>
    <row r="50" spans="1:7">
      <c r="A50" t="s">
        <v>109</v>
      </c>
      <c r="B50" t="s">
        <v>110</v>
      </c>
      <c r="C50" t="s">
        <v>111</v>
      </c>
      <c r="E50" t="str">
        <f t="shared" si="0"/>
        <v>M.pal,</v>
      </c>
      <c r="F50" t="str">
        <f t="shared" si="1"/>
        <v>Masseter 통증,</v>
      </c>
      <c r="G50" t="str">
        <f t="shared" si="2"/>
        <v>좌측(Lt), 우측(Rt) 또는 양측(both) 교근(Masseter)의 통증 정도를 나타냄. 경도(+/-), 중등도(+), 고도(++)로 표현됨.</v>
      </c>
    </row>
    <row r="51" spans="1:7">
      <c r="A51" t="s">
        <v>109</v>
      </c>
      <c r="B51" t="s">
        <v>112</v>
      </c>
      <c r="C51" t="s">
        <v>113</v>
      </c>
      <c r="E51" t="str">
        <f t="shared" si="0"/>
        <v>M.pal,</v>
      </c>
      <c r="F51" t="str">
        <f t="shared" si="1"/>
        <v>Temporalis 통증,</v>
      </c>
      <c r="G51" t="str">
        <f t="shared" si="2"/>
        <v>좌측(Lt), 우측(Rt) 또는 양측(both) 측두근(Temporalis)의 통증을 나타냄. 주로 anterior, mid, posterior 부위로 구분됨.</v>
      </c>
    </row>
    <row r="52" spans="1:7">
      <c r="A52" t="s">
        <v>109</v>
      </c>
      <c r="B52" t="s">
        <v>114</v>
      </c>
      <c r="C52" t="s">
        <v>115</v>
      </c>
      <c r="E52" t="str">
        <f t="shared" si="0"/>
        <v>M.pal,</v>
      </c>
      <c r="F52" t="str">
        <f t="shared" si="1"/>
        <v>압통점(Tender Point),</v>
      </c>
      <c r="G52" t="str">
        <f t="shared" si="2"/>
        <v>좌측(Lt), 우측(Rt) 또는 양측(both)에 압통점이 있음을 나타냄. 압통점은 근막동통증후군의 주요 진단 기준 중 하나임.</v>
      </c>
    </row>
    <row r="53" spans="1:7">
      <c r="A53" t="s">
        <v>109</v>
      </c>
      <c r="B53" t="s">
        <v>116</v>
      </c>
      <c r="C53" t="s">
        <v>117</v>
      </c>
      <c r="E53" t="str">
        <f t="shared" si="0"/>
        <v>M.pal,</v>
      </c>
      <c r="F53" t="str">
        <f t="shared" si="1"/>
        <v>SCM 연관통,</v>
      </c>
      <c r="G53" t="str">
        <f t="shared" si="2"/>
        <v>흉쇄유돌근(Sternocleidomastoid, SCM)의 긴장으로 인해 측두부(Temporalis)로 연관통이 나타나는 것을 의미함.</v>
      </c>
    </row>
    <row r="54" spans="1:7">
      <c r="A54" t="s">
        <v>109</v>
      </c>
      <c r="B54" t="s">
        <v>118</v>
      </c>
      <c r="C54" t="s">
        <v>119</v>
      </c>
      <c r="E54" t="str">
        <f t="shared" si="0"/>
        <v>M.pal,</v>
      </c>
      <c r="F54" t="str">
        <f t="shared" si="1"/>
        <v>기타 소견,</v>
      </c>
      <c r="G54" t="str">
        <f t="shared" si="2"/>
        <v>클릭음(click) 변화, 개구량 변화 등 기타 임상적으로 의미 있는 소견을 나타냄.</v>
      </c>
    </row>
    <row r="55" spans="1:7">
      <c r="A55" t="s">
        <v>120</v>
      </c>
      <c r="B55" t="s">
        <v>121</v>
      </c>
      <c r="C55" t="s">
        <v>122</v>
      </c>
      <c r="E55" t="str">
        <f t="shared" si="0"/>
        <v>Noise,</v>
      </c>
      <c r="F55" t="str">
        <f t="shared" si="1"/>
        <v>Click,</v>
      </c>
      <c r="G55" t="str">
        <f t="shared" si="2"/>
        <v>관절을 움직일 때 '딱' 소리가 나는 현상으로, 관절 내 구조물들이 부딪히며 발생하는 소리입니다.</v>
      </c>
    </row>
    <row r="56" spans="1:7">
      <c r="A56" t="s">
        <v>120</v>
      </c>
      <c r="B56" t="s">
        <v>123</v>
      </c>
      <c r="C56" t="s">
        <v>124</v>
      </c>
      <c r="E56" t="str">
        <f t="shared" si="0"/>
        <v>Noise,</v>
      </c>
      <c r="F56" t="str">
        <f t="shared" si="1"/>
        <v>Popping,</v>
      </c>
      <c r="G56" t="str">
        <f t="shared" si="2"/>
        <v>관절을 움직일 때 '뻑뻑' 소리가 나는 현상으로, 관절 내 기체가 빠르게 빠져나가며 발생하는 소리입니다.</v>
      </c>
    </row>
    <row r="57" spans="1:7">
      <c r="A57" t="s">
        <v>120</v>
      </c>
      <c r="B57" t="s">
        <v>125</v>
      </c>
      <c r="C57" t="s">
        <v>126</v>
      </c>
      <c r="E57" t="str">
        <f t="shared" si="0"/>
        <v>Noise,</v>
      </c>
      <c r="F57" t="str">
        <f t="shared" si="1"/>
        <v>Crepitus,</v>
      </c>
      <c r="G57" t="str">
        <f t="shared" si="2"/>
        <v>관절을 움직일 때 '지직지직' 소리가 나는 현상으로, 관절 연골 표면이 거칠어지며 발생하는 소리입니다.</v>
      </c>
    </row>
    <row r="58" spans="1:7">
      <c r="A58" t="s">
        <v>120</v>
      </c>
      <c r="B58" t="s">
        <v>127</v>
      </c>
      <c r="C58" t="s">
        <v>128</v>
      </c>
      <c r="E58" t="str">
        <f t="shared" si="0"/>
        <v>Noise,</v>
      </c>
      <c r="F58" t="str">
        <f t="shared" si="1"/>
        <v>None,</v>
      </c>
      <c r="G58" t="str">
        <f t="shared" si="2"/>
        <v>특별한 관절음이 없는 경우로, 정상 범주에 속합니다.</v>
      </c>
    </row>
    <row r="59" spans="1:7">
      <c r="A59" t="s">
        <v>129</v>
      </c>
      <c r="B59" t="s">
        <v>130</v>
      </c>
      <c r="C59" t="s">
        <v>131</v>
      </c>
      <c r="E59" t="str">
        <f t="shared" si="0"/>
        <v>Loading,</v>
      </c>
      <c r="F59" t="str">
        <f t="shared" si="1"/>
        <v>결측치,</v>
      </c>
      <c r="G59" t="str">
        <f t="shared" si="2"/>
        <v>'-'로 표시된 결측치가 대부분을 차지하고 있어 데이터 품질 개선이 필요해 보입니다. 결측치 처리 방안을 마련하는 것이 중요할 것 같습니다.</v>
      </c>
    </row>
    <row r="60" spans="1:7">
      <c r="A60" t="s">
        <v>129</v>
      </c>
      <c r="B60" t="s">
        <v>132</v>
      </c>
      <c r="C60" t="s">
        <v>133</v>
      </c>
      <c r="E60" t="str">
        <f t="shared" si="0"/>
        <v>Loading,</v>
      </c>
      <c r="F60" t="str">
        <f t="shared" si="1"/>
        <v>추가조사필요,</v>
      </c>
      <c r="G60" t="str">
        <f t="shared" si="2"/>
        <v>'-'로 표시된 값들이 실제로 어떤 의미를 갖는지 추가 조사가 필요해 보입니다. 데이터 수집 과정을 점검하고 '-'값에 대한 정보를 수집하는 것이 도움될 것 같습니다.</v>
      </c>
    </row>
    <row r="61" spans="1:7">
      <c r="A61" t="s">
        <v>129</v>
      </c>
      <c r="B61" t="s">
        <v>134</v>
      </c>
      <c r="C61" t="s">
        <v>135</v>
      </c>
      <c r="E61" t="str">
        <f t="shared" si="0"/>
        <v>Loading,</v>
      </c>
      <c r="F61" t="str">
        <f t="shared" si="1"/>
        <v>이상치제거,</v>
      </c>
      <c r="G61" t="str">
        <f t="shared" si="2"/>
        <v>'-' 이외의 값이 존재한다면 그것이 유효한 값인지, 아니면 이상치인지 판단하여 이상치는 제거하는 것이 좋겠습니다.</v>
      </c>
    </row>
    <row r="62" spans="1:7">
      <c r="A62" t="s">
        <v>136</v>
      </c>
      <c r="B62" t="s">
        <v>137</v>
      </c>
      <c r="C62" t="s">
        <v>138</v>
      </c>
      <c r="E62" t="str">
        <f t="shared" si="0"/>
        <v>Occlusion,</v>
      </c>
      <c r="F62" t="str">
        <f t="shared" si="1"/>
        <v>정상교합,</v>
      </c>
      <c r="G62" t="str">
        <f t="shared" si="2"/>
        <v>구치부 교합이 정상적으로 이루어지는 경우. 예) 4567/4567, both4567</v>
      </c>
    </row>
    <row r="63" spans="1:7">
      <c r="A63" t="s">
        <v>136</v>
      </c>
      <c r="B63" t="s">
        <v>139</v>
      </c>
      <c r="C63" t="s">
        <v>140</v>
      </c>
      <c r="E63" t="str">
        <f t="shared" si="0"/>
        <v>Occlusion,</v>
      </c>
      <c r="F63" t="str">
        <f t="shared" si="1"/>
        <v>부분교합,</v>
      </c>
      <c r="G63" t="str">
        <f t="shared" si="2"/>
        <v>구치부 일부 치아만 교합되는 경우. 예) 567/567, Lt)4567 Rt)567</v>
      </c>
    </row>
    <row r="64" spans="1:7">
      <c r="A64" t="s">
        <v>136</v>
      </c>
      <c r="B64" t="s">
        <v>141</v>
      </c>
      <c r="C64" t="s">
        <v>142</v>
      </c>
      <c r="E64" t="str">
        <f t="shared" si="0"/>
        <v>Occlusion,</v>
      </c>
      <c r="F64" t="str">
        <f t="shared" si="1"/>
        <v>비접촉,</v>
      </c>
      <c r="G64" t="str">
        <f t="shared" si="2"/>
        <v>특정 치아가 교합되지 않는 경우. 예) 양쪽 4번 안닿음, Rt 4,5 안닿음</v>
      </c>
    </row>
    <row r="65" spans="1:7">
      <c r="A65" t="s">
        <v>136</v>
      </c>
      <c r="B65" t="s">
        <v>143</v>
      </c>
      <c r="C65" t="s">
        <v>144</v>
      </c>
      <c r="E65" t="str">
        <f t="shared" si="0"/>
        <v>Occlusion,</v>
      </c>
      <c r="F65" t="str">
        <f t="shared" si="1"/>
        <v>마모/상실,</v>
      </c>
      <c r="G65" t="str">
        <f t="shared" si="2"/>
        <v>치아 마모나 상실로 인한 교합 이상. 예) 6번 닳아있음, 치아결손</v>
      </c>
    </row>
    <row r="66" spans="1:7">
      <c r="A66" t="s">
        <v>136</v>
      </c>
      <c r="B66" t="s">
        <v>23</v>
      </c>
      <c r="C66" t="s">
        <v>145</v>
      </c>
      <c r="E66" t="str">
        <f t="shared" ref="E66:E120" si="3">A66&amp;","</f>
        <v>Occlusion,</v>
      </c>
      <c r="F66" t="str">
        <f t="shared" ref="F66:F120" si="4">B66&amp;","</f>
        <v>기타,</v>
      </c>
      <c r="G66" t="str">
        <f t="shared" ref="G66:G120" si="5">C66</f>
        <v>다른 카테고리에 속하지 않는 교합 양상. 예) open bite 경향, 반대교합</v>
      </c>
    </row>
    <row r="67" spans="1:7">
      <c r="A67" t="s">
        <v>146</v>
      </c>
      <c r="B67" t="s">
        <v>147</v>
      </c>
      <c r="C67" t="s">
        <v>148</v>
      </c>
      <c r="E67" t="str">
        <f t="shared" si="3"/>
        <v>OJ/OB,</v>
      </c>
      <c r="F67" t="str">
        <f t="shared" si="4"/>
        <v>정상 범위,</v>
      </c>
      <c r="G67" t="str">
        <f t="shared" si="5"/>
        <v>OJ와 OB가 2-4mm 사이로 정상 범위에 속하는 경우</v>
      </c>
    </row>
    <row r="68" spans="1:7">
      <c r="A68" t="s">
        <v>146</v>
      </c>
      <c r="B68" t="s">
        <v>149</v>
      </c>
      <c r="C68" t="s">
        <v>150</v>
      </c>
      <c r="E68" t="str">
        <f t="shared" si="3"/>
        <v>OJ/OB,</v>
      </c>
      <c r="F68" t="str">
        <f t="shared" si="4"/>
        <v>과도한 수평피개,</v>
      </c>
      <c r="G68" t="str">
        <f t="shared" si="5"/>
        <v>OJ가 4mm 이상으로 수평적 과도한 피개를 보이는 경우</v>
      </c>
    </row>
    <row r="69" spans="1:7">
      <c r="A69" t="s">
        <v>146</v>
      </c>
      <c r="B69" t="s">
        <v>151</v>
      </c>
      <c r="C69" t="s">
        <v>152</v>
      </c>
      <c r="E69" t="str">
        <f t="shared" si="3"/>
        <v>OJ/OB,</v>
      </c>
      <c r="F69" t="str">
        <f t="shared" si="4"/>
        <v>과도한 수직피개,</v>
      </c>
      <c r="G69" t="str">
        <f t="shared" si="5"/>
        <v>OB가 음수값을 가지거나 4mm 이상으로 수직적 과도한 피개를 보이는 경우</v>
      </c>
    </row>
    <row r="70" spans="1:7">
      <c r="A70" t="s">
        <v>146</v>
      </c>
      <c r="B70" t="s">
        <v>153</v>
      </c>
      <c r="C70" t="s">
        <v>154</v>
      </c>
      <c r="E70" t="str">
        <f t="shared" si="3"/>
        <v>OJ/OB,</v>
      </c>
      <c r="F70" t="str">
        <f t="shared" si="4"/>
        <v>전치부 개방교합,</v>
      </c>
      <c r="G70" t="str">
        <f t="shared" si="5"/>
        <v>OJ 또는 OB가 0 또는 음수값을 가져 전치부 개방교합을 보이는 경우</v>
      </c>
    </row>
    <row r="71" spans="1:7">
      <c r="A71" t="s">
        <v>146</v>
      </c>
      <c r="B71" t="s">
        <v>155</v>
      </c>
      <c r="C71" t="s">
        <v>156</v>
      </c>
      <c r="E71" t="str">
        <f t="shared" si="3"/>
        <v>OJ/OB,</v>
      </c>
      <c r="F71" t="str">
        <f t="shared" si="4"/>
        <v>측정 불가,</v>
      </c>
      <c r="G71" t="str">
        <f t="shared" si="5"/>
        <v>OJ/OB 값이 기록되지 않았거나 측정이 어려운 경우</v>
      </c>
    </row>
    <row r="72" spans="1:7">
      <c r="A72" t="s">
        <v>157</v>
      </c>
      <c r="B72" t="s">
        <v>158</v>
      </c>
      <c r="C72" t="s">
        <v>159</v>
      </c>
      <c r="E72" t="str">
        <f t="shared" si="3"/>
        <v>Class,</v>
      </c>
      <c r="F72" t="str">
        <f t="shared" si="4"/>
        <v>숫자형,</v>
      </c>
      <c r="G72" t="str">
        <f t="shared" si="5"/>
        <v>1, 2, 3 등의 숫자 값을 가지는 카테고리입니다. 가장 많은 비중을 차지하고 있습니다.</v>
      </c>
    </row>
    <row r="73" spans="1:7">
      <c r="A73" t="s">
        <v>157</v>
      </c>
      <c r="B73" t="s">
        <v>160</v>
      </c>
      <c r="C73" t="s">
        <v>161</v>
      </c>
      <c r="E73" t="str">
        <f t="shared" si="3"/>
        <v>Class,</v>
      </c>
      <c r="F73" t="str">
        <f t="shared" si="4"/>
        <v>문자형,</v>
      </c>
      <c r="G73" t="str">
        <f t="shared" si="5"/>
        <v>s, E 등의 문자 값을 가지는 카테고리입니다. 숫자형 다음으로 많은 비중을 차지합니다.</v>
      </c>
    </row>
    <row r="74" spans="1:7">
      <c r="A74" t="s">
        <v>157</v>
      </c>
      <c r="B74" t="s">
        <v>23</v>
      </c>
      <c r="C74" t="s">
        <v>162</v>
      </c>
      <c r="E74" t="str">
        <f t="shared" si="3"/>
        <v>Class,</v>
      </c>
      <c r="F74" t="str">
        <f t="shared" si="4"/>
        <v>기타,</v>
      </c>
      <c r="G74" t="str">
        <f t="shared" si="5"/>
        <v>숫자나 문자가 아닌 값을 가지는 카테고리입니다. '합' 등의 값이 여기에 해당됩니다.</v>
      </c>
    </row>
    <row r="75" spans="1:7">
      <c r="A75" t="s">
        <v>157</v>
      </c>
      <c r="B75" t="s">
        <v>130</v>
      </c>
      <c r="C75" t="s">
        <v>163</v>
      </c>
      <c r="E75" t="str">
        <f t="shared" si="3"/>
        <v>Class,</v>
      </c>
      <c r="F75" t="str">
        <f t="shared" si="4"/>
        <v>결측치,</v>
      </c>
      <c r="G75" t="str">
        <f t="shared" si="5"/>
        <v>값이 존재하지 않는 결측치에 해당하는 카테고리입니다. 전체의 약 10%를 차지하고 있습니다.</v>
      </c>
    </row>
    <row r="76" spans="1:7">
      <c r="A76" t="s">
        <v>164</v>
      </c>
      <c r="B76" t="s">
        <v>165</v>
      </c>
      <c r="C76" t="s">
        <v>166</v>
      </c>
      <c r="E76" t="str">
        <f t="shared" si="3"/>
        <v>Midline Shift,</v>
      </c>
      <c r="F76" t="str">
        <f t="shared" si="4"/>
        <v>상악 편위,</v>
      </c>
      <c r="G76" t="str">
        <f t="shared" si="5"/>
        <v>상악이 왼쪽 또는 오른쪽으로 편위된 경우. 편위 방향과 정도(mm)를 포함.</v>
      </c>
    </row>
    <row r="77" spans="1:7">
      <c r="A77" t="s">
        <v>164</v>
      </c>
      <c r="B77" t="s">
        <v>167</v>
      </c>
      <c r="C77" t="s">
        <v>168</v>
      </c>
      <c r="E77" t="str">
        <f t="shared" si="3"/>
        <v>Midline Shift,</v>
      </c>
      <c r="F77" t="str">
        <f t="shared" si="4"/>
        <v>하악 편위,</v>
      </c>
      <c r="G77" t="str">
        <f t="shared" si="5"/>
        <v>하악이 왼쪽 또는 오른쪽으로 편위된 경우. 편위 방향과 정도(mm)를 포함.</v>
      </c>
    </row>
    <row r="78" spans="1:7">
      <c r="A78" t="s">
        <v>164</v>
      </c>
      <c r="B78" t="s">
        <v>169</v>
      </c>
      <c r="C78" t="s">
        <v>170</v>
      </c>
      <c r="E78" t="str">
        <f t="shared" si="3"/>
        <v>Midline Shift,</v>
      </c>
      <c r="F78" t="str">
        <f t="shared" si="4"/>
        <v>편위 없음,</v>
      </c>
      <c r="G78" t="str">
        <f t="shared" si="5"/>
        <v>상악과 하악에 편위가 관찰되지 않는 경우. '-', '없음', 'n/s' 등으로 표기.</v>
      </c>
    </row>
    <row r="79" spans="1:7">
      <c r="A79" t="s">
        <v>164</v>
      </c>
      <c r="B79" t="s">
        <v>155</v>
      </c>
      <c r="C79" t="s">
        <v>171</v>
      </c>
      <c r="E79" t="str">
        <f t="shared" si="3"/>
        <v>Midline Shift,</v>
      </c>
      <c r="F79" t="str">
        <f t="shared" si="4"/>
        <v>측정 불가,</v>
      </c>
      <c r="G79" t="str">
        <f t="shared" si="5"/>
        <v>편위 여부를 판단할 수 없거나 측정값이 누락된 경우.</v>
      </c>
    </row>
    <row r="80" spans="1:7">
      <c r="A80" t="s">
        <v>172</v>
      </c>
      <c r="B80" t="s">
        <v>173</v>
      </c>
      <c r="C80" t="s">
        <v>174</v>
      </c>
      <c r="E80" t="str">
        <f t="shared" si="3"/>
        <v>Deviation,</v>
      </c>
      <c r="F80" t="str">
        <f t="shared" si="4"/>
        <v>Left,</v>
      </c>
      <c r="G80" t="str">
        <f t="shared" si="5"/>
        <v>왼쪽으로 편위(Deviation)가 있는 경우</v>
      </c>
    </row>
    <row r="81" spans="1:7">
      <c r="A81" t="s">
        <v>172</v>
      </c>
      <c r="B81" t="s">
        <v>175</v>
      </c>
      <c r="C81" t="s">
        <v>176</v>
      </c>
      <c r="E81" t="str">
        <f t="shared" si="3"/>
        <v>Deviation,</v>
      </c>
      <c r="F81" t="str">
        <f t="shared" si="4"/>
        <v>Right,</v>
      </c>
      <c r="G81" t="str">
        <f t="shared" si="5"/>
        <v>오른쪽으로 편위(Deviation)가 있는 경우</v>
      </c>
    </row>
    <row r="82" spans="1:7">
      <c r="A82" t="s">
        <v>172</v>
      </c>
      <c r="B82" t="s">
        <v>177</v>
      </c>
      <c r="C82" t="s">
        <v>178</v>
      </c>
      <c r="E82" t="str">
        <f t="shared" si="3"/>
        <v>Deviation,</v>
      </c>
      <c r="F82" t="str">
        <f t="shared" si="4"/>
        <v>Straight,</v>
      </c>
      <c r="G82" t="str">
        <f t="shared" si="5"/>
        <v>편위 없이 일직선(Straight)인 경우</v>
      </c>
    </row>
    <row r="83" spans="1:7">
      <c r="A83" t="s">
        <v>172</v>
      </c>
      <c r="B83" t="s">
        <v>179</v>
      </c>
      <c r="C83" t="s">
        <v>180</v>
      </c>
      <c r="E83" t="str">
        <f t="shared" si="3"/>
        <v>Deviation,</v>
      </c>
      <c r="F83" t="str">
        <f t="shared" si="4"/>
        <v>Mixed,</v>
      </c>
      <c r="G83" t="str">
        <f t="shared" si="5"/>
        <v>왼쪽과 오른쪽 편위가 혼재되어 있는 경우</v>
      </c>
    </row>
    <row r="84" spans="1:7">
      <c r="A84" t="s">
        <v>172</v>
      </c>
      <c r="B84" t="s">
        <v>107</v>
      </c>
      <c r="C84" t="s">
        <v>181</v>
      </c>
      <c r="E84" t="str">
        <f t="shared" si="3"/>
        <v>Deviation,</v>
      </c>
      <c r="F84" t="str">
        <f t="shared" si="4"/>
        <v>Unspecified,</v>
      </c>
      <c r="G84" t="str">
        <f t="shared" si="5"/>
        <v>편위 정도가 명시되지 않은 경우</v>
      </c>
    </row>
    <row r="85" spans="1:7">
      <c r="A85" t="s">
        <v>182</v>
      </c>
      <c r="B85" t="s">
        <v>183</v>
      </c>
      <c r="C85" t="s">
        <v>184</v>
      </c>
      <c r="E85" t="str">
        <f t="shared" si="3"/>
        <v>CR-CO,</v>
      </c>
      <c r="F85" t="str">
        <f t="shared" si="4"/>
        <v>없음,</v>
      </c>
      <c r="G85" t="str">
        <f t="shared" si="5"/>
        <v>CR-CO 차이가 거의 없거나 없는 경우</v>
      </c>
    </row>
    <row r="86" spans="1:7">
      <c r="A86" t="s">
        <v>182</v>
      </c>
      <c r="B86" t="s">
        <v>185</v>
      </c>
      <c r="C86" t="s">
        <v>186</v>
      </c>
      <c r="E86" t="str">
        <f t="shared" si="3"/>
        <v>CR-CO,</v>
      </c>
      <c r="F86" t="str">
        <f t="shared" si="4"/>
        <v>1mm 이하,</v>
      </c>
      <c r="G86" t="str">
        <f t="shared" si="5"/>
        <v>CR-CO 차이가 1mm 이하인 경우 (예: 0.5mm, 1mm 등)</v>
      </c>
    </row>
    <row r="87" spans="1:7">
      <c r="A87" t="s">
        <v>182</v>
      </c>
      <c r="B87" t="s">
        <v>187</v>
      </c>
      <c r="C87" t="s">
        <v>188</v>
      </c>
      <c r="E87" t="str">
        <f t="shared" si="3"/>
        <v>CR-CO,</v>
      </c>
      <c r="F87" t="str">
        <f t="shared" si="4"/>
        <v>1-2mm,</v>
      </c>
      <c r="G87" t="str">
        <f t="shared" si="5"/>
        <v>CR-CO 차이가 1mm에서 2mm 사이인 경우</v>
      </c>
    </row>
    <row r="88" spans="1:7">
      <c r="A88" t="s">
        <v>182</v>
      </c>
      <c r="B88" t="s">
        <v>189</v>
      </c>
      <c r="C88" t="s">
        <v>190</v>
      </c>
      <c r="E88" t="str">
        <f t="shared" si="3"/>
        <v>CR-CO,</v>
      </c>
      <c r="F88" t="str">
        <f t="shared" si="4"/>
        <v>2mm 초과,</v>
      </c>
      <c r="G88" t="str">
        <f t="shared" si="5"/>
        <v>CR-CO 차이가 2mm를 초과하는 경우</v>
      </c>
    </row>
    <row r="89" spans="1:7">
      <c r="A89" t="s">
        <v>182</v>
      </c>
      <c r="B89" t="s">
        <v>191</v>
      </c>
      <c r="C89" t="s">
        <v>192</v>
      </c>
      <c r="E89" t="str">
        <f t="shared" si="3"/>
        <v>CR-CO,</v>
      </c>
      <c r="F89" t="str">
        <f t="shared" si="4"/>
        <v>방향 표시,</v>
      </c>
      <c r="G89" t="str">
        <f t="shared" si="5"/>
        <v>CR-CO 차이의 방향이 명시된 경우 (예: 오른쪽, 왼쪽, 뒤 등)</v>
      </c>
    </row>
    <row r="90" spans="1:7">
      <c r="A90" t="s">
        <v>193</v>
      </c>
      <c r="B90" t="s">
        <v>194</v>
      </c>
      <c r="C90" t="s">
        <v>195</v>
      </c>
      <c r="E90" t="str">
        <f t="shared" si="3"/>
        <v>Tongue ridging,</v>
      </c>
      <c r="F90" t="str">
        <f t="shared" si="4"/>
        <v>Positive,</v>
      </c>
      <c r="G90" t="str">
        <f t="shared" si="5"/>
        <v>Tongue ridging이 관찰되는 경우로, '+', '++', '심함' 등의 값을 포함합니다. 정도에 따라 세부 분류가 가능할 것으로 보입니다.</v>
      </c>
    </row>
    <row r="91" spans="1:7">
      <c r="A91" t="s">
        <v>193</v>
      </c>
      <c r="B91" t="s">
        <v>99</v>
      </c>
      <c r="C91" t="s">
        <v>196</v>
      </c>
      <c r="E91" t="str">
        <f t="shared" si="3"/>
        <v>Tongue ridging,</v>
      </c>
      <c r="F91" t="str">
        <f t="shared" si="4"/>
        <v>Negative,</v>
      </c>
      <c r="G91" t="str">
        <f t="shared" si="5"/>
        <v>Tongue ridging이 관찰되지 않는 경우로, '-' 값에 해당합니다.</v>
      </c>
    </row>
    <row r="92" spans="1:7">
      <c r="A92" t="s">
        <v>193</v>
      </c>
      <c r="B92" t="s">
        <v>197</v>
      </c>
      <c r="C92" t="s">
        <v>198</v>
      </c>
      <c r="E92" t="str">
        <f t="shared" si="3"/>
        <v>Tongue ridging,</v>
      </c>
      <c r="F92" t="str">
        <f t="shared" si="4"/>
        <v>Not specified,</v>
      </c>
      <c r="G92" t="str">
        <f t="shared" si="5"/>
        <v>Tongue ridging 여부가 명시되지 않은 경우로, 'n/s' 값을 포함합니다. 추가 조사가 필요한 케이스일 수 있습니다.</v>
      </c>
    </row>
    <row r="93" spans="1:7">
      <c r="A93" t="s">
        <v>193</v>
      </c>
      <c r="B93" t="s">
        <v>199</v>
      </c>
      <c r="C93" t="s">
        <v>200</v>
      </c>
      <c r="E93" t="str">
        <f t="shared" si="3"/>
        <v>Tongue ridging,</v>
      </c>
      <c r="F93" t="str">
        <f t="shared" si="4"/>
        <v>Mild,</v>
      </c>
      <c r="G93" t="str">
        <f t="shared" si="5"/>
        <v>'살짝'과 같이 경미한 수준의 tongue ridging을 나타내는 경우입니다. Positive 카테고리의 하위 분류로 고려해볼 수 있습니다.</v>
      </c>
    </row>
    <row r="94" spans="1:7">
      <c r="A94" t="s">
        <v>201</v>
      </c>
      <c r="B94" t="s">
        <v>194</v>
      </c>
      <c r="C94" t="s">
        <v>202</v>
      </c>
      <c r="E94" t="str">
        <f t="shared" si="3"/>
        <v>Mucosal ridging,</v>
      </c>
      <c r="F94" t="str">
        <f t="shared" si="4"/>
        <v>Positive,</v>
      </c>
      <c r="G94" t="str">
        <f t="shared" si="5"/>
        <v>Mucosal ridging이 존재하는 경우로, '+', '++', '약하게', '조금', '심함' 등의 값이 해당됩니다.</v>
      </c>
    </row>
    <row r="95" spans="1:7">
      <c r="A95" t="s">
        <v>201</v>
      </c>
      <c r="B95" t="s">
        <v>99</v>
      </c>
      <c r="C95" t="s">
        <v>203</v>
      </c>
      <c r="E95" t="str">
        <f t="shared" si="3"/>
        <v>Mucosal ridging,</v>
      </c>
      <c r="F95" t="str">
        <f t="shared" si="4"/>
        <v>Negative,</v>
      </c>
      <c r="G95" t="str">
        <f t="shared" si="5"/>
        <v>Mucosal ridging이 관찰되지 않는 경우로, '-' 값이 해당됩니다.</v>
      </c>
    </row>
    <row r="96" spans="1:7">
      <c r="A96" t="s">
        <v>201</v>
      </c>
      <c r="B96" t="s">
        <v>197</v>
      </c>
      <c r="C96" t="s">
        <v>204</v>
      </c>
      <c r="E96" t="str">
        <f t="shared" si="3"/>
        <v>Mucosal ridging,</v>
      </c>
      <c r="F96" t="str">
        <f t="shared" si="4"/>
        <v>Not specified,</v>
      </c>
      <c r="G96" t="str">
        <f t="shared" si="5"/>
        <v>Mucosal ridging 여부가 명시되지 않은 경우로, 'n/s' 값이 해당됩니다.</v>
      </c>
    </row>
    <row r="97" spans="1:7">
      <c r="A97" t="s">
        <v>201</v>
      </c>
      <c r="B97" t="s">
        <v>205</v>
      </c>
      <c r="C97" t="s">
        <v>206</v>
      </c>
      <c r="E97" t="str">
        <f t="shared" si="3"/>
        <v>Mucosal ridging,</v>
      </c>
      <c r="F97" t="str">
        <f t="shared" si="4"/>
        <v>Indeterminate,</v>
      </c>
      <c r="G97" t="str">
        <f t="shared" si="5"/>
        <v>Mucosal ridging 존재 여부가 불확실한 경우로, '(+/-)' 값이 해당됩니다.</v>
      </c>
    </row>
    <row r="98" spans="1:7">
      <c r="A98" t="s">
        <v>207</v>
      </c>
      <c r="B98" t="s">
        <v>208</v>
      </c>
      <c r="C98" t="s">
        <v>209</v>
      </c>
      <c r="E98" t="str">
        <f t="shared" si="3"/>
        <v>Rt,</v>
      </c>
      <c r="F98" t="str">
        <f t="shared" si="4"/>
        <v>정상,</v>
      </c>
      <c r="G98" t="str">
        <f t="shared" si="5"/>
        <v>Rt 값이 0.8 ~ 1.3 사이로 정상 범위에 있는 경우</v>
      </c>
    </row>
    <row r="99" spans="1:7">
      <c r="A99" t="s">
        <v>207</v>
      </c>
      <c r="B99" t="s">
        <v>210</v>
      </c>
      <c r="C99" t="s">
        <v>211</v>
      </c>
      <c r="E99" t="str">
        <f t="shared" si="3"/>
        <v>Rt,</v>
      </c>
      <c r="F99" t="str">
        <f t="shared" si="4"/>
        <v>경도 이상,</v>
      </c>
      <c r="G99" t="str">
        <f t="shared" si="5"/>
        <v>Rt 값이 1.3 ~ 1.8 사이로 경도의 이상이 의심되는 경우</v>
      </c>
    </row>
    <row r="100" spans="1:7">
      <c r="A100" t="s">
        <v>207</v>
      </c>
      <c r="B100" t="s">
        <v>212</v>
      </c>
      <c r="C100" t="s">
        <v>213</v>
      </c>
      <c r="E100" t="str">
        <f t="shared" si="3"/>
        <v>Rt,</v>
      </c>
      <c r="F100" t="str">
        <f t="shared" si="4"/>
        <v>중등도 이상,</v>
      </c>
      <c r="G100" t="str">
        <f t="shared" si="5"/>
        <v>Rt 값이 1.8 ~ 2.3 사이로 중등도의 이상이 의심되는 경우</v>
      </c>
    </row>
    <row r="101" spans="1:7">
      <c r="A101" t="s">
        <v>207</v>
      </c>
      <c r="B101" t="s">
        <v>214</v>
      </c>
      <c r="C101" t="s">
        <v>215</v>
      </c>
      <c r="E101" t="str">
        <f t="shared" si="3"/>
        <v>Rt,</v>
      </c>
      <c r="F101" t="str">
        <f t="shared" si="4"/>
        <v>고도 이상,</v>
      </c>
      <c r="G101" t="str">
        <f t="shared" si="5"/>
        <v>Rt 값이 2.3 이상으로 고도의 이상이 의심되는 경우</v>
      </c>
    </row>
    <row r="102" spans="1:7">
      <c r="A102" t="s">
        <v>207</v>
      </c>
      <c r="B102" t="s">
        <v>155</v>
      </c>
      <c r="C102" t="s">
        <v>216</v>
      </c>
      <c r="E102" t="str">
        <f t="shared" si="3"/>
        <v>Rt,</v>
      </c>
      <c r="F102" t="str">
        <f t="shared" si="4"/>
        <v>측정 불가,</v>
      </c>
      <c r="G102" t="str">
        <f t="shared" si="5"/>
        <v>Rt 값이 존재하지 않거나 측정이 불가능한 경우</v>
      </c>
    </row>
    <row r="103" spans="1:7">
      <c r="A103" t="s">
        <v>217</v>
      </c>
      <c r="B103" t="s">
        <v>218</v>
      </c>
      <c r="C103" t="s">
        <v>219</v>
      </c>
      <c r="E103" t="str">
        <f t="shared" si="3"/>
        <v>Lt,</v>
      </c>
      <c r="F103" t="str">
        <f t="shared" si="4"/>
        <v>정상범위,</v>
      </c>
      <c r="G103" t="str">
        <f t="shared" si="5"/>
        <v>Lt 값이 정상 범위인 0.8 ~ 1.2 사이에 있는 경우</v>
      </c>
    </row>
    <row r="104" spans="1:7">
      <c r="A104" t="s">
        <v>217</v>
      </c>
      <c r="B104" t="s">
        <v>220</v>
      </c>
      <c r="C104" t="s">
        <v>221</v>
      </c>
      <c r="E104" t="str">
        <f t="shared" si="3"/>
        <v>Lt,</v>
      </c>
      <c r="F104" t="str">
        <f t="shared" si="4"/>
        <v>경도상승,</v>
      </c>
      <c r="G104" t="str">
        <f t="shared" si="5"/>
        <v>Lt 값이 1.2 ~ 1.5 사이로 약간 상승한 경우</v>
      </c>
    </row>
    <row r="105" spans="1:7">
      <c r="A105" t="s">
        <v>217</v>
      </c>
      <c r="B105" t="s">
        <v>222</v>
      </c>
      <c r="C105" t="s">
        <v>223</v>
      </c>
      <c r="E105" t="str">
        <f t="shared" si="3"/>
        <v>Lt,</v>
      </c>
      <c r="F105" t="str">
        <f t="shared" si="4"/>
        <v>중등도상승,</v>
      </c>
      <c r="G105" t="str">
        <f t="shared" si="5"/>
        <v>Lt 값이 1.5 ~ 2.0 사이로 중간 정도 상승한 경우</v>
      </c>
    </row>
    <row r="106" spans="1:7">
      <c r="A106" t="s">
        <v>217</v>
      </c>
      <c r="B106" t="s">
        <v>224</v>
      </c>
      <c r="C106" t="s">
        <v>225</v>
      </c>
      <c r="E106" t="str">
        <f t="shared" si="3"/>
        <v>Lt,</v>
      </c>
      <c r="F106" t="str">
        <f t="shared" si="4"/>
        <v>고도상승,</v>
      </c>
      <c r="G106" t="str">
        <f t="shared" si="5"/>
        <v>Lt 값이 2.0 이상으로 크게 상승한 경우</v>
      </c>
    </row>
    <row r="107" spans="1:7">
      <c r="A107" t="s">
        <v>217</v>
      </c>
      <c r="B107" t="s">
        <v>226</v>
      </c>
      <c r="C107" t="s">
        <v>227</v>
      </c>
      <c r="E107" t="str">
        <f t="shared" si="3"/>
        <v>Lt,</v>
      </c>
      <c r="F107" t="str">
        <f t="shared" si="4"/>
        <v>측정누락,</v>
      </c>
      <c r="G107" t="str">
        <f t="shared" si="5"/>
        <v>Lt 값이 측정되지 않았거나 기록되지 않은 경우</v>
      </c>
    </row>
    <row r="108" spans="1:7">
      <c r="A108" t="s">
        <v>228</v>
      </c>
      <c r="B108" t="s">
        <v>229</v>
      </c>
      <c r="C108" t="s">
        <v>230</v>
      </c>
      <c r="E108" t="str">
        <f t="shared" si="3"/>
        <v>Lateral excursion Protrusive excursion,</v>
      </c>
      <c r="F108" t="str">
        <f t="shared" si="4"/>
        <v>측정값 없음,</v>
      </c>
      <c r="G108" t="str">
        <f t="shared" si="5"/>
        <v>'-'로 표시된 측정값이 없는 경우로, 데이터의 대부분을 차지함</v>
      </c>
    </row>
    <row r="109" spans="1:7">
      <c r="A109" t="s">
        <v>228</v>
      </c>
      <c r="B109" t="s">
        <v>155</v>
      </c>
      <c r="C109" t="s">
        <v>231</v>
      </c>
      <c r="E109" t="str">
        <f t="shared" si="3"/>
        <v>Lateral excursion Protrusive excursion,</v>
      </c>
      <c r="F109" t="str">
        <f t="shared" si="4"/>
        <v>측정 불가,</v>
      </c>
      <c r="G109" t="str">
        <f t="shared" si="5"/>
        <v>'n/s'로 표시된 측정이 불가능한 경우</v>
      </c>
    </row>
    <row r="110" spans="1:7">
      <c r="A110" t="s">
        <v>228</v>
      </c>
      <c r="B110" t="s">
        <v>232</v>
      </c>
      <c r="C110" t="s">
        <v>233</v>
      </c>
      <c r="E110" t="str">
        <f t="shared" si="3"/>
        <v>Lateral excursion Protrusive excursion,</v>
      </c>
      <c r="F110" t="str">
        <f t="shared" si="4"/>
        <v>방향성 있는 측정값,</v>
      </c>
      <c r="G110" t="str">
        <f t="shared" si="5"/>
        <v>'Rt +'와 같이 방향성을 나타내는 측정값이 존재하는 경우</v>
      </c>
    </row>
    <row r="111" spans="1:7">
      <c r="A111" t="s">
        <v>228</v>
      </c>
      <c r="B111" t="s">
        <v>23</v>
      </c>
      <c r="C111" t="s">
        <v>234</v>
      </c>
      <c r="E111" t="str">
        <f t="shared" si="3"/>
        <v>Lateral excursion Protrusive excursion,</v>
      </c>
      <c r="F111" t="str">
        <f t="shared" si="4"/>
        <v>기타,</v>
      </c>
      <c r="G111" t="str">
        <f t="shared" si="5"/>
        <v>위 카테고리에 해당되지 않는 나머지 케이스들</v>
      </c>
    </row>
    <row r="112" spans="1:7">
      <c r="A112" t="s">
        <v>235</v>
      </c>
      <c r="B112" t="s">
        <v>236</v>
      </c>
      <c r="C112" t="s">
        <v>237</v>
      </c>
      <c r="E112" t="str">
        <f t="shared" si="3"/>
        <v>End feel,</v>
      </c>
      <c r="F112" t="str">
        <f t="shared" si="4"/>
        <v>Soft,</v>
      </c>
      <c r="G112" t="str">
        <f t="shared" si="5"/>
        <v>End feel이 부드럽고 유연한 경우로, 대부분의 데이터가 이에 해당됩니다. 정상적인 조직 상태를 나타낼 수 있습니다.</v>
      </c>
    </row>
    <row r="113" spans="1:7">
      <c r="A113" t="s">
        <v>235</v>
      </c>
      <c r="B113" t="s">
        <v>238</v>
      </c>
      <c r="C113" t="s">
        <v>239</v>
      </c>
      <c r="E113" t="str">
        <f t="shared" si="3"/>
        <v>End feel,</v>
      </c>
      <c r="F113" t="str">
        <f t="shared" si="4"/>
        <v>Hard,</v>
      </c>
      <c r="G113" t="str">
        <f t="shared" si="5"/>
        <v>End feel이 단단하고 뻣뻣한 경우로, 소수의 데이터에서 관찰됩니다. 비정상적인 조직 변화나 병리학적 상태를 시사할 수 있습니다.</v>
      </c>
    </row>
    <row r="114" spans="1:7">
      <c r="A114" t="s">
        <v>235</v>
      </c>
      <c r="B114" t="s">
        <v>240</v>
      </c>
      <c r="C114" t="s">
        <v>241</v>
      </c>
      <c r="E114" t="str">
        <f t="shared" si="3"/>
        <v>End feel,</v>
      </c>
      <c r="F114" t="str">
        <f t="shared" si="4"/>
        <v>Intermediate,</v>
      </c>
      <c r="G114" t="str">
        <f t="shared" si="5"/>
        <v>Soft와 Hard의 중간 정도의 End feel로, 경계선상의 상태를 나타낼 수 있습니다. 추가적인 검사가 필요할 수 있습니다.</v>
      </c>
    </row>
    <row r="115" spans="1:7">
      <c r="A115" t="s">
        <v>235</v>
      </c>
      <c r="B115" t="s">
        <v>197</v>
      </c>
      <c r="C115" t="s">
        <v>242</v>
      </c>
      <c r="E115" t="str">
        <f t="shared" si="3"/>
        <v>End feel,</v>
      </c>
      <c r="F115" t="str">
        <f t="shared" si="4"/>
        <v>Not specified,</v>
      </c>
      <c r="G115" t="str">
        <f t="shared" si="5"/>
        <v>End feel이 명시되지 않은 경우로, 누락된 데이터를 나타냅니다. 데이터 품질 개선이 필요할 수 있습니다.</v>
      </c>
    </row>
    <row r="116" spans="1:7">
      <c r="A116" t="s">
        <v>243</v>
      </c>
      <c r="B116" t="s">
        <v>244</v>
      </c>
      <c r="C116" t="s">
        <v>245</v>
      </c>
      <c r="E116" t="str">
        <f t="shared" si="3"/>
        <v>치료계획,</v>
      </c>
      <c r="F116" t="str">
        <f t="shared" si="4"/>
        <v>물리치료,</v>
      </c>
      <c r="G116" t="str">
        <f t="shared" si="5"/>
        <v>물리치료를 통한 증상 완화 및 관리</v>
      </c>
    </row>
    <row r="117" spans="1:7">
      <c r="A117" t="s">
        <v>243</v>
      </c>
      <c r="B117" t="s">
        <v>246</v>
      </c>
      <c r="C117" t="s">
        <v>247</v>
      </c>
      <c r="E117" t="str">
        <f t="shared" si="3"/>
        <v>치료계획,</v>
      </c>
      <c r="F117" t="str">
        <f t="shared" si="4"/>
        <v>장치 관리,</v>
      </c>
      <c r="G117" t="str">
        <f t="shared" si="5"/>
        <v>교정장치, 스플린트 등의 장치 체크 및 조정</v>
      </c>
    </row>
    <row r="118" spans="1:7">
      <c r="A118" t="s">
        <v>243</v>
      </c>
      <c r="B118" t="s">
        <v>248</v>
      </c>
      <c r="C118" t="s">
        <v>249</v>
      </c>
      <c r="E118" t="str">
        <f t="shared" si="3"/>
        <v>치료계획,</v>
      </c>
      <c r="F118" t="str">
        <f t="shared" si="4"/>
        <v>습관 조절,</v>
      </c>
      <c r="G118" t="str">
        <f t="shared" si="5"/>
        <v>이갈이, 악습관 등의 습관 교정을 위한 지도</v>
      </c>
    </row>
    <row r="119" spans="1:7">
      <c r="A119" t="s">
        <v>243</v>
      </c>
      <c r="B119" t="s">
        <v>250</v>
      </c>
      <c r="C119" t="s">
        <v>251</v>
      </c>
      <c r="E119" t="str">
        <f t="shared" si="3"/>
        <v>치료계획,</v>
      </c>
      <c r="F119" t="str">
        <f t="shared" si="4"/>
        <v>약물/주사 치료,</v>
      </c>
      <c r="G119" t="str">
        <f t="shared" si="5"/>
        <v>MMTT, 보톡스, PDRN 등의 약물이나 주사요법</v>
      </c>
    </row>
    <row r="120" spans="1:7">
      <c r="A120" t="s">
        <v>243</v>
      </c>
      <c r="B120" t="s">
        <v>252</v>
      </c>
      <c r="C120" t="s">
        <v>253</v>
      </c>
      <c r="E120" t="str">
        <f t="shared" si="3"/>
        <v>치료계획,</v>
      </c>
      <c r="F120" t="str">
        <f t="shared" si="4"/>
        <v>경과 관찰,</v>
      </c>
      <c r="G120" t="str">
        <f t="shared" si="5"/>
        <v>증상 체크, 방사선 촬영 등을 통한 주기적 검진 및 경과 확인</v>
      </c>
    </row>
    <row r="123" spans="1:7">
      <c r="B123" s="1"/>
      <c r="C123" s="1" t="s">
        <v>254</v>
      </c>
    </row>
    <row r="124" spans="1:7">
      <c r="B124" s="1"/>
      <c r="C124" s="1" t="s">
        <v>255</v>
      </c>
    </row>
    <row r="125" spans="1:7">
      <c r="B125" s="1"/>
      <c r="C125" s="1"/>
    </row>
    <row r="126" spans="1:7">
      <c r="B126" s="1"/>
      <c r="C126" s="1" t="s">
        <v>256</v>
      </c>
    </row>
    <row r="127" spans="1:7">
      <c r="B127" s="1"/>
      <c r="C127" s="1" t="s">
        <v>257</v>
      </c>
    </row>
    <row r="128" spans="1:7">
      <c r="B128" s="1"/>
      <c r="C128" s="1" t="s">
        <v>258</v>
      </c>
    </row>
    <row r="129" spans="2:3">
      <c r="B129" s="1"/>
      <c r="C129" s="1"/>
    </row>
    <row r="130" spans="2:3">
      <c r="B130" s="1"/>
      <c r="C130" s="1" t="s">
        <v>259</v>
      </c>
    </row>
    <row r="131" spans="2:3">
      <c r="B131" s="1"/>
      <c r="C131" s="1"/>
    </row>
    <row r="132" spans="2:3">
      <c r="B132" s="1" t="s">
        <v>260</v>
      </c>
      <c r="C132" s="1" t="s">
        <v>261</v>
      </c>
    </row>
    <row r="133" spans="2:3">
      <c r="B133" s="1" t="s">
        <v>260</v>
      </c>
      <c r="C133" s="1" t="s">
        <v>262</v>
      </c>
    </row>
    <row r="134" spans="2:3">
      <c r="B134" s="1"/>
      <c r="C134" s="1" t="s">
        <v>263</v>
      </c>
    </row>
    <row r="135" spans="2:3">
      <c r="B135" s="1" t="s">
        <v>260</v>
      </c>
      <c r="C135" s="1" t="s">
        <v>264</v>
      </c>
    </row>
    <row r="136" spans="2:3">
      <c r="B136" s="1" t="s">
        <v>260</v>
      </c>
      <c r="C136" s="1" t="s">
        <v>265</v>
      </c>
    </row>
    <row r="137" spans="2:3">
      <c r="B137" s="1"/>
      <c r="C137" s="1"/>
    </row>
    <row r="138" spans="2:3">
      <c r="B138" s="1"/>
      <c r="C138" s="1" t="s">
        <v>266</v>
      </c>
    </row>
    <row r="139" spans="2:3">
      <c r="B139" s="1"/>
      <c r="C139" s="1"/>
    </row>
    <row r="140" spans="2:3">
      <c r="B140" s="1" t="s">
        <v>260</v>
      </c>
      <c r="C140" s="1" t="s">
        <v>267</v>
      </c>
    </row>
    <row r="141" spans="2:3">
      <c r="B141" s="1" t="s">
        <v>260</v>
      </c>
      <c r="C141" s="1" t="s">
        <v>268</v>
      </c>
    </row>
    <row r="142" spans="2:3">
      <c r="B142" s="1" t="s">
        <v>260</v>
      </c>
      <c r="C142" s="1" t="s">
        <v>269</v>
      </c>
    </row>
    <row r="143" spans="2:3">
      <c r="B143" s="1" t="s">
        <v>260</v>
      </c>
      <c r="C143" s="1" t="s">
        <v>270</v>
      </c>
    </row>
    <row r="144" spans="2:3">
      <c r="B144" s="1"/>
      <c r="C144" s="1"/>
    </row>
    <row r="145" spans="2:3">
      <c r="B145" s="1" t="s">
        <v>260</v>
      </c>
      <c r="C145" s="1" t="s">
        <v>271</v>
      </c>
    </row>
    <row r="146" spans="2:3">
      <c r="B146" s="1" t="s">
        <v>260</v>
      </c>
      <c r="C146" s="1" t="s">
        <v>272</v>
      </c>
    </row>
    <row r="147" spans="2:3">
      <c r="B147" s="1" t="s">
        <v>260</v>
      </c>
      <c r="C147" s="1" t="s">
        <v>273</v>
      </c>
    </row>
    <row r="148" spans="2:3">
      <c r="B148" s="1"/>
      <c r="C148" s="1"/>
    </row>
    <row r="149" spans="2:3">
      <c r="B149" s="1"/>
      <c r="C149" s="1"/>
    </row>
    <row r="150" spans="2:3">
      <c r="B150" s="1"/>
      <c r="C150" s="1"/>
    </row>
    <row r="151" spans="2:3">
      <c r="B151" s="1"/>
      <c r="C151" s="1"/>
    </row>
    <row r="152" spans="2:3">
      <c r="B152" s="1" t="s">
        <v>260</v>
      </c>
      <c r="C152" s="1" t="s">
        <v>274</v>
      </c>
    </row>
    <row r="153" spans="2:3">
      <c r="B153" s="1"/>
      <c r="C153" s="1"/>
    </row>
    <row r="154" spans="2:3">
      <c r="B154" s="1" t="s">
        <v>260</v>
      </c>
      <c r="C154" s="1" t="s">
        <v>275</v>
      </c>
    </row>
    <row r="155" spans="2:3">
      <c r="B155" s="1" t="s">
        <v>260</v>
      </c>
      <c r="C155" s="1" t="s">
        <v>276</v>
      </c>
    </row>
    <row r="156" spans="2:3">
      <c r="B156" s="1" t="s">
        <v>260</v>
      </c>
      <c r="C156" s="1" t="s">
        <v>277</v>
      </c>
    </row>
    <row r="157" spans="2:3">
      <c r="B157" s="1"/>
      <c r="C157" s="1"/>
    </row>
    <row r="158" spans="2:3">
      <c r="B158" s="1"/>
      <c r="C158" s="1"/>
    </row>
    <row r="159" spans="2:3">
      <c r="B159" s="1"/>
      <c r="C159" s="1" t="s">
        <v>278</v>
      </c>
    </row>
    <row r="160" spans="2:3">
      <c r="B160" s="1"/>
      <c r="C160" s="1" t="s">
        <v>279</v>
      </c>
    </row>
    <row r="161" spans="2:3">
      <c r="B161" s="1"/>
      <c r="C161" s="1"/>
    </row>
    <row r="162" spans="2:3">
      <c r="B162" s="1"/>
      <c r="C162" s="1"/>
    </row>
    <row r="163" spans="2:3">
      <c r="B163" s="1"/>
      <c r="C163" s="1" t="s">
        <v>280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category_recommendations_202502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남영</dc:creator>
  <cp:lastModifiedBy>남영</cp:lastModifiedBy>
  <dcterms:created xsi:type="dcterms:W3CDTF">2025-02-23T07:30:01Z</dcterms:created>
  <dcterms:modified xsi:type="dcterms:W3CDTF">2025-02-23T13:39:44Z</dcterms:modified>
</cp:coreProperties>
</file>